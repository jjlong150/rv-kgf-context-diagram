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laude\rv-kgf-context-diagram\"/>
    </mc:Choice>
  </mc:AlternateContent>
  <xr:revisionPtr revIDLastSave="0" documentId="13_ncr:1_{6CB35428-D33D-4141-904B-6283A3B40E43}" xr6:coauthVersionLast="47" xr6:coauthVersionMax="47" xr10:uidLastSave="{00000000-0000-0000-0000-000000000000}"/>
  <bookViews>
    <workbookView xWindow="38290" yWindow="-110" windowWidth="22620" windowHeight="13500" tabRatio="792" firstSheet="1" activeTab="1" xr2:uid="{A14AAFAD-FE17-453F-861C-22450609F0DB}"/>
  </bookViews>
  <sheets>
    <sheet name="Hidden Options" sheetId="12" state="hidden" r:id="rId1"/>
    <sheet name="About..." sheetId="13" r:id="rId2"/>
    <sheet name="Options" sheetId="9" r:id="rId3"/>
    <sheet name="Actors" sheetId="5" r:id="rId4"/>
    <sheet name="Applications" sheetId="2" r:id="rId5"/>
    <sheet name="Data Stores" sheetId="6" r:id="rId6"/>
    <sheet name="Notes" sheetId="10" r:id="rId7"/>
    <sheet name="Actor to Application" sheetId="8" r:id="rId8"/>
    <sheet name="Application to Application" sheetId="3" r:id="rId9"/>
    <sheet name="Application to Data Store" sheetId="7" r:id="rId10"/>
    <sheet name="Application Descriptions" sheetId="1" r:id="rId11"/>
    <sheet name="Lists" sheetId="4" r:id="rId12"/>
  </sheets>
  <definedNames>
    <definedName name="_xlnm._FilterDatabase" localSheetId="10" hidden="1">'Application Descriptions'!$A$1:$D$21</definedName>
    <definedName name="ActorActions">Lists!$J$4:$J$6</definedName>
    <definedName name="Actors">Actors!$A$2:$A$1048549</definedName>
    <definedName name="ActorTypes">Lists!$D$4:$D$9</definedName>
    <definedName name="AgreementsInPlace">Lists!$P$59:$P$60</definedName>
    <definedName name="APIGateway">Lists!$L$53:$L$58</definedName>
    <definedName name="ApplicationTypes">Lists!$B$4:$B$9</definedName>
    <definedName name="ApproximateVolume">Lists!$J$9:$J$11</definedName>
    <definedName name="AppsInScope">Applications!$A$2:$A$1048535</definedName>
    <definedName name="AppTitles" localSheetId="0">Application_Descriptions[Application Title]</definedName>
    <definedName name="AppTitles">Application_Descriptions[Application Title]</definedName>
    <definedName name="AuthMechanism">Lists!$P$14:$P$23</definedName>
    <definedName name="Availability">Lists!$B$12:$B$13</definedName>
    <definedName name="BackupStrategy">Lists!$P$38:$P$43</definedName>
    <definedName name="BusinessContinuity">Lists!$B$16:$B$17</definedName>
    <definedName name="ContainsPII">Lists!$P$10:$P$11</definedName>
    <definedName name="Criticality">Lists!$B$24:$B$27</definedName>
    <definedName name="_xlnm.Database">Lists!$F$12:$F$21</definedName>
    <definedName name="DataClassification">Lists!$P$4:$P$7</definedName>
    <definedName name="DataResidency">Lists!$F$59:$F$64</definedName>
    <definedName name="DataStoreActions">Lists!$N$4:$N$5</definedName>
    <definedName name="DataStores">'Data Stores'!$A$2:$A$1048563</definedName>
    <definedName name="DataStoreToType" localSheetId="0">DataStoresList[#All]</definedName>
    <definedName name="DataStoreToType" localSheetId="6">DataStoresList[#All]</definedName>
    <definedName name="DataStoreToType">DataStoresList[#All]</definedName>
    <definedName name="DataStoreTypes">Lists!$F$4:$F$9</definedName>
    <definedName name="DeploymentModelDatabase">Lists!$H$12:$H$14</definedName>
    <definedName name="DeploymentModelDirectory">Lists!$H$24:$H$26</definedName>
    <definedName name="DeploymentModelFile">Lists!$H$37:$H$40</definedName>
    <definedName name="DeploymentModelFolder">Lists!$H$30:$H$33</definedName>
    <definedName name="DeploymentModelQueue">Lists!$H$44:$H$46</definedName>
    <definedName name="DeploymentModelRepository">Lists!$H$50:$H$52</definedName>
    <definedName name="DirectNetwork">Lists!$L$68:$L$73</definedName>
    <definedName name="Directory">Lists!$F$24:$F$27</definedName>
    <definedName name="Email">Lists!$L$15:$L$20</definedName>
    <definedName name="EncryptionAtRest">Lists!$P$34:$P$35</definedName>
    <definedName name="ESB">Lists!$L$23:$L$28</definedName>
    <definedName name="FailureAlerting">Lists!$P$63:$P$65</definedName>
    <definedName name="FailureDisposition">Lists!$P$26:$P$31</definedName>
    <definedName name="FailureImpact">Lists!$D$30:$D$34</definedName>
    <definedName name="File">Lists!$F$37:$F$41</definedName>
    <definedName name="FileTransfer">Lists!$L$31:$L$36</definedName>
    <definedName name="Folder">Lists!$F$30:$F$34</definedName>
    <definedName name="ForwardProxy">Lists!$L$39:$L$43</definedName>
    <definedName name="HostingModel">Lists!$B$30:$B$34</definedName>
    <definedName name="Integrity">Lists!$B$20:$B$21</definedName>
    <definedName name="MessageBroker">Lists!$L$76:$L$81</definedName>
    <definedName name="Origin">Lists!$D$24:$D$26</definedName>
    <definedName name="PopulationScale">Lists!$D$12:$D$21</definedName>
    <definedName name="Queue">Lists!$F$44:$F$47</definedName>
    <definedName name="RedundancyModel">Lists!$B$37:$B$40</definedName>
    <definedName name="RegulatoryScope">Lists!$B$45:$B$53</definedName>
    <definedName name="Repository">Lists!$F$50:$F$56</definedName>
    <definedName name="RetentionPeriod">Lists!$F$67:$F$76</definedName>
    <definedName name="RetryStrategy">Lists!$P$46:$P$50</definedName>
    <definedName name="ReverseProxy">Lists!$L$46:$L$50</definedName>
    <definedName name="SortedAppList">Lists!$R$4:$R$26</definedName>
    <definedName name="Stability">Lists!$P$53:$P$56</definedName>
    <definedName name="Telephony">Lists!$L$61:$L$65</definedName>
    <definedName name="TriggerSource">Lists!$D$37:$D$42</definedName>
    <definedName name="Via">Lists!$L$4:$L$12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2" l="1"/>
  <c r="C9" i="9"/>
  <c r="C8" i="9" a="1"/>
  <c r="C8" i="9" s="1"/>
  <c r="R4" i="4" a="1"/>
  <c r="R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Jeffrey Long</author>
  </authors>
  <commentList>
    <comment ref="D1" authorId="0" shapeId="0" xr:uid="{B50AB5B9-C555-4928-B89F-028F4C3157C3}">
      <text>
        <r>
          <rPr>
            <sz val="9"/>
            <color indexed="81"/>
            <rFont val="Tahoma"/>
            <family val="2"/>
          </rPr>
          <t xml:space="preserve">Keep the length of Application Descriptions under 255 characters. Longer descriptions will be truncated when displayed as an SVG tooltip.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<sst xmlns="http://schemas.openxmlformats.org/spreadsheetml/2006/main" count="1029" uniqueCount="471">
  <si>
    <t>APP ID</t>
  </si>
  <si>
    <t>Application Description</t>
  </si>
  <si>
    <t>ESB</t>
  </si>
  <si>
    <t>Enterprise Service Bus</t>
  </si>
  <si>
    <t>Enterprise Content Manager</t>
  </si>
  <si>
    <t>Message Center</t>
  </si>
  <si>
    <t>Chatbot</t>
  </si>
  <si>
    <t>DevOps</t>
  </si>
  <si>
    <t>Application Title</t>
  </si>
  <si>
    <t>Uses Application</t>
  </si>
  <si>
    <t>Protocol</t>
  </si>
  <si>
    <t>Application Type</t>
  </si>
  <si>
    <t>Application Types</t>
  </si>
  <si>
    <t>Via</t>
  </si>
  <si>
    <t>Caption</t>
  </si>
  <si>
    <t>Actor</t>
  </si>
  <si>
    <t>Actor Type</t>
  </si>
  <si>
    <t>Data Store</t>
  </si>
  <si>
    <t>Data Store Type</t>
  </si>
  <si>
    <t>File</t>
  </si>
  <si>
    <t>Database</t>
  </si>
  <si>
    <t>JDBC</t>
  </si>
  <si>
    <t>Sends To</t>
  </si>
  <si>
    <t>Gets From</t>
  </si>
  <si>
    <t>Queue</t>
  </si>
  <si>
    <t>Actor Types</t>
  </si>
  <si>
    <t>Event</t>
  </si>
  <si>
    <t>ODBC</t>
  </si>
  <si>
    <t>SMTP</t>
  </si>
  <si>
    <t>Telephony</t>
  </si>
  <si>
    <t>FTP</t>
  </si>
  <si>
    <t>SFTP</t>
  </si>
  <si>
    <t>HTTPS</t>
  </si>
  <si>
    <t>LDAP</t>
  </si>
  <si>
    <t>SCP</t>
  </si>
  <si>
    <t>Directory</t>
  </si>
  <si>
    <t>Email</t>
  </si>
  <si>
    <t>Reverse Proxy</t>
  </si>
  <si>
    <t>Forward Proxy</t>
  </si>
  <si>
    <t>ReverseProxy</t>
  </si>
  <si>
    <t>DataStoreTypes</t>
  </si>
  <si>
    <t>Action</t>
  </si>
  <si>
    <t>DataStoreActions</t>
  </si>
  <si>
    <t>File Transfer</t>
  </si>
  <si>
    <t>FileTransfer</t>
  </si>
  <si>
    <t>Description</t>
  </si>
  <si>
    <t>ActorActions</t>
  </si>
  <si>
    <t>Interacts With</t>
  </si>
  <si>
    <t>Data Warehouse</t>
  </si>
  <si>
    <t>Stored Procedure</t>
  </si>
  <si>
    <t>Data Loader</t>
  </si>
  <si>
    <t>SQL Insert</t>
  </si>
  <si>
    <t>SQL Delete</t>
  </si>
  <si>
    <t>SQL Select</t>
  </si>
  <si>
    <t>SQL Update</t>
  </si>
  <si>
    <t>DataMarts</t>
  </si>
  <si>
    <t>API Gateway</t>
  </si>
  <si>
    <t>A centralized repository that consolidates and stores data from various sources for business intelligence (BI) and analytical purposes.</t>
  </si>
  <si>
    <t>B2C Website</t>
  </si>
  <si>
    <t>APP-10001</t>
  </si>
  <si>
    <t>APP-10002</t>
  </si>
  <si>
    <t>APP-10003</t>
  </si>
  <si>
    <t>APP-10004</t>
  </si>
  <si>
    <t>APP-10005</t>
  </si>
  <si>
    <t>APP-10006</t>
  </si>
  <si>
    <t>APP-10007</t>
  </si>
  <si>
    <t>APP-10008</t>
  </si>
  <si>
    <t>APP-10009</t>
  </si>
  <si>
    <t>APP-10010</t>
  </si>
  <si>
    <t>APP-10011</t>
  </si>
  <si>
    <t>APP-10012</t>
  </si>
  <si>
    <t>APP-10013</t>
  </si>
  <si>
    <t>APP-10014</t>
  </si>
  <si>
    <t>Mail Relay</t>
  </si>
  <si>
    <t>APP-10015</t>
  </si>
  <si>
    <t>APP-10016</t>
  </si>
  <si>
    <t>Consumer</t>
  </si>
  <si>
    <t>Internet</t>
  </si>
  <si>
    <t>Credit Application System</t>
  </si>
  <si>
    <t>APP-10017</t>
  </si>
  <si>
    <t>Corporate Applications</t>
  </si>
  <si>
    <t>Web Browser</t>
  </si>
  <si>
    <t>APP-10018</t>
  </si>
  <si>
    <t>Inventory Management System</t>
  </si>
  <si>
    <t xml:space="preserve">An inventory management system is a software solution that helps businesses track and manage their stock levels, from ordering to tracking and reporting. </t>
  </si>
  <si>
    <t>APP-10019</t>
  </si>
  <si>
    <t>Perimeter Network</t>
  </si>
  <si>
    <t>Notify customer of decision</t>
  </si>
  <si>
    <t>APP-10020</t>
  </si>
  <si>
    <t>A system used by lenders and financial institutions to interact with credit bureaus. Its primary purpose is to access and process credit data from credit bureaus to support lending decisions, risk assessment, and customer management</t>
  </si>
  <si>
    <t>Deliver email to mailbox</t>
  </si>
  <si>
    <t>Format appropriate template and transmit</t>
  </si>
  <si>
    <t>GraphQL</t>
  </si>
  <si>
    <t>gRPC</t>
  </si>
  <si>
    <t>WebSocket</t>
  </si>
  <si>
    <t>ForwardProxy</t>
  </si>
  <si>
    <t>APIGateway</t>
  </si>
  <si>
    <t>HTTPS REST</t>
  </si>
  <si>
    <t>HTTPS SOAP</t>
  </si>
  <si>
    <t>Read eMail notification</t>
  </si>
  <si>
    <t>Emphasize</t>
  </si>
  <si>
    <t>Person</t>
  </si>
  <si>
    <t>Notification Queue</t>
  </si>
  <si>
    <t>Invoke cloud service to send email</t>
  </si>
  <si>
    <t>Alarm</t>
  </si>
  <si>
    <t>Marketing CRM</t>
  </si>
  <si>
    <t>Service CRM</t>
  </si>
  <si>
    <t>Email Services</t>
  </si>
  <si>
    <t>Cloud Service Provider</t>
  </si>
  <si>
    <t>Credit Bureau Aggregator</t>
  </si>
  <si>
    <t>Business to Consumer</t>
  </si>
  <si>
    <t>Process</t>
  </si>
  <si>
    <t>Consumer's Home</t>
  </si>
  <si>
    <t>Consumer Lending</t>
  </si>
  <si>
    <t>Folder</t>
  </si>
  <si>
    <t>Read</t>
  </si>
  <si>
    <t>Write</t>
  </si>
  <si>
    <t>Enqueue</t>
  </si>
  <si>
    <t>Dequeue</t>
  </si>
  <si>
    <t>Active Directory</t>
  </si>
  <si>
    <t>Enabled</t>
  </si>
  <si>
    <t>Value</t>
  </si>
  <si>
    <t>Add Legend</t>
  </si>
  <si>
    <t>Option</t>
  </si>
  <si>
    <t>Add Page Border</t>
  </si>
  <si>
    <t>System Timer</t>
  </si>
  <si>
    <t>Check for pending requests</t>
  </si>
  <si>
    <t>Manages interactions between clients and backend services. It acts as a reverse proxy, routing client requests to the appropriate backend services and potentially performing tasks like authentication, authorization, and rate limiting.</t>
  </si>
  <si>
    <t>A smaller, specialized subset of a data warehouse that focuses on a single business line or department.</t>
  </si>
  <si>
    <t xml:space="preserve">Integrates software development (Dev) and IT operations (Ops) through collaboration, automation, and feedback loops to speed up the software delivery lifecycle. </t>
  </si>
  <si>
    <t>A software platform that facilitates communication and integration between different applications and services within an organization. It acts as a central hub for message brokering and routing.</t>
  </si>
  <si>
    <t>A type of proxy server that sits between a client and the internet, facilitating requests from the client to external servers.</t>
  </si>
  <si>
    <t>A type of proxy server that sits in front of one or more web servers and intercepts client requests before forwarding them to the backend servers. It then sends the responses back to the client.</t>
  </si>
  <si>
    <t>Add to send queue</t>
  </si>
  <si>
    <t>Release from send queue</t>
  </si>
  <si>
    <t>The recipient of the email notification being sent.</t>
  </si>
  <si>
    <t>A Business-to-Consumer (B2C) website used to sell products or services directly to individual consumers, rather than to other businesses.</t>
  </si>
  <si>
    <t>Consumer Notifications</t>
  </si>
  <si>
    <t xml:space="preserve">A service that helps create, send, and manage various types of notifications to customers, including mobile text message notifications, push notifications, and email notifications. </t>
  </si>
  <si>
    <t>An in-house application used to process customer credit applications, assess creditworthiness, and manage credit risk.</t>
  </si>
  <si>
    <t>An application designed to simulate conversation with human users, typically through text or voice providing help for commonly asked questions.</t>
  </si>
  <si>
    <t>An application used to manage, store, and access various types of content and documents throughout their lifecycle.</t>
  </si>
  <si>
    <t>A Simple Mail Transfer Protocol (SMTP) relay transfers email from one SMTP server to another over the internet until reaching the intended recipent.</t>
  </si>
  <si>
    <t>A centralized location for collecting and accessing secure messages. In the context of customer service, it's where conversations with customers, both ongoing and ended, are stored.</t>
  </si>
  <si>
    <t xml:space="preserve">A software application that lets you access and view websites on the internet. It acts as a window to the internet, allowing you to navigate and interact with online content. </t>
  </si>
  <si>
    <t>Email Client</t>
  </si>
  <si>
    <t>A software application that allows users to access, compose, and send email messages. It acts as the interface between the user and the mail server. Also known as a Mail User Agent.</t>
  </si>
  <si>
    <t>Business application uses the Consumer Notifications application to send graphics-rich emails to customers.</t>
  </si>
  <si>
    <t>Consumer Notifications application uses cloud-based SAAS software to compose and deliver the message.</t>
  </si>
  <si>
    <t>ID</t>
  </si>
  <si>
    <t>Note</t>
  </si>
  <si>
    <t>Add Cluster Notes</t>
  </si>
  <si>
    <t>Add Canvas Notes</t>
  </si>
  <si>
    <t>minlen=1</t>
  </si>
  <si>
    <t>A Customer Relationship Management (CRM) platform focused on streamlining workflows, automating processes, and empowering customer support agents with tools to manage interactions efficiently.</t>
  </si>
  <si>
    <t>SortedAppList</t>
  </si>
  <si>
    <t>Organization</t>
  </si>
  <si>
    <t>Bot</t>
  </si>
  <si>
    <t>Repository</t>
  </si>
  <si>
    <t>Commit</t>
  </si>
  <si>
    <t>Fetch</t>
  </si>
  <si>
    <t>Merge</t>
  </si>
  <si>
    <t>Pull</t>
  </si>
  <si>
    <t>Push</t>
  </si>
  <si>
    <t>Title Block Author</t>
  </si>
  <si>
    <t>Title Block Filename</t>
  </si>
  <si>
    <t>Title Block Date</t>
  </si>
  <si>
    <t>Jeffrey Long</t>
  </si>
  <si>
    <t>System Context for Consumer Notifications Application</t>
  </si>
  <si>
    <t>Title Block Title</t>
  </si>
  <si>
    <t>source</t>
  </si>
  <si>
    <t>Data Classification</t>
  </si>
  <si>
    <t>Contains PII</t>
  </si>
  <si>
    <t>Auth Mechanism</t>
  </si>
  <si>
    <t>Channel</t>
  </si>
  <si>
    <t>Origin</t>
  </si>
  <si>
    <t>External</t>
  </si>
  <si>
    <t>Population Scale</t>
  </si>
  <si>
    <t>Retention Period</t>
  </si>
  <si>
    <t>Encryption at Rest</t>
  </si>
  <si>
    <t>Data Owner</t>
  </si>
  <si>
    <t>Backup Strategy</t>
  </si>
  <si>
    <t>Business Owner</t>
  </si>
  <si>
    <t>Technical Owner</t>
  </si>
  <si>
    <t>Vendor Product</t>
  </si>
  <si>
    <t>End of Support Date</t>
  </si>
  <si>
    <t>Redundancy Model</t>
  </si>
  <si>
    <t>Criticality</t>
  </si>
  <si>
    <t>Regulatory Scope</t>
  </si>
  <si>
    <t>Boundary 1</t>
  </si>
  <si>
    <t>Boundary 2</t>
  </si>
  <si>
    <t>Approximate Volume</t>
  </si>
  <si>
    <t>Yes</t>
  </si>
  <si>
    <t>No</t>
  </si>
  <si>
    <t>Deployment Model</t>
  </si>
  <si>
    <t>DeploymentModelDirectory</t>
  </si>
  <si>
    <t>DeploymentModelFolder</t>
  </si>
  <si>
    <t>DeploymentModelFile</t>
  </si>
  <si>
    <t>DeploymentModelQueue</t>
  </si>
  <si>
    <t>DeploymentModelRepository</t>
  </si>
  <si>
    <t>DeploymentModelDatabase</t>
  </si>
  <si>
    <t>DeploymentModel</t>
  </si>
  <si>
    <t>On Premise</t>
  </si>
  <si>
    <t>Cloud Self Managed</t>
  </si>
  <si>
    <t>Cloud Managed Service</t>
  </si>
  <si>
    <t>Local</t>
  </si>
  <si>
    <t>Network Share</t>
  </si>
  <si>
    <t>Cloud Storage</t>
  </si>
  <si>
    <t>SAAS Platform</t>
  </si>
  <si>
    <t>Public</t>
  </si>
  <si>
    <t>Internal</t>
  </si>
  <si>
    <t>Confidential</t>
  </si>
  <si>
    <t>Integrity</t>
  </si>
  <si>
    <t>Standard</t>
  </si>
  <si>
    <t>Critical</t>
  </si>
  <si>
    <t>BusinessContinuity</t>
  </si>
  <si>
    <t>Restricted</t>
  </si>
  <si>
    <t>DataClassification</t>
  </si>
  <si>
    <t>Availability</t>
  </si>
  <si>
    <t>ContainsPII</t>
  </si>
  <si>
    <t>Partner</t>
  </si>
  <si>
    <t>TriggerSource</t>
  </si>
  <si>
    <t>System Clock</t>
  </si>
  <si>
    <t>Message Arrival</t>
  </si>
  <si>
    <t>External Webhook</t>
  </si>
  <si>
    <t>Manual</t>
  </si>
  <si>
    <t>FailureImpact</t>
  </si>
  <si>
    <t>None</t>
  </si>
  <si>
    <t>Degraded</t>
  </si>
  <si>
    <t>RedundancyModel</t>
  </si>
  <si>
    <t>Active-Passive</t>
  </si>
  <si>
    <t>Active-Active</t>
  </si>
  <si>
    <t>Auto-Scaling</t>
  </si>
  <si>
    <t>Medium</t>
  </si>
  <si>
    <t>Low</t>
  </si>
  <si>
    <t>RegulatoryScope</t>
  </si>
  <si>
    <t>PCI-DSS</t>
  </si>
  <si>
    <t>GLBA</t>
  </si>
  <si>
    <t>GDPR</t>
  </si>
  <si>
    <t>SOX</t>
  </si>
  <si>
    <t>EncryptionAtRest</t>
  </si>
  <si>
    <t>BackupStrategy</t>
  </si>
  <si>
    <t>Continuous Replication</t>
  </si>
  <si>
    <t>AuthMechanism</t>
  </si>
  <si>
    <t>API Key</t>
  </si>
  <si>
    <t>mTLS</t>
  </si>
  <si>
    <t>Basic Auth</t>
  </si>
  <si>
    <t>ApproximateVolume</t>
  </si>
  <si>
    <t>High</t>
  </si>
  <si>
    <t>Stability</t>
  </si>
  <si>
    <t>Planned</t>
  </si>
  <si>
    <t>Stable</t>
  </si>
  <si>
    <t>Deprecated</t>
  </si>
  <si>
    <t>Active Development</t>
  </si>
  <si>
    <t>PopulationScale</t>
  </si>
  <si>
    <t>Trigger Source</t>
  </si>
  <si>
    <t>Failure Impact</t>
  </si>
  <si>
    <t>1</t>
  </si>
  <si>
    <t>Business Continuity</t>
  </si>
  <si>
    <t>RetentionPeriod</t>
  </si>
  <si>
    <t>15 Minutes</t>
  </si>
  <si>
    <t>1 Hour</t>
  </si>
  <si>
    <t>1 Day</t>
  </si>
  <si>
    <t>1 Week</t>
  </si>
  <si>
    <t>1 Month</t>
  </si>
  <si>
    <t>1 Quarter</t>
  </si>
  <si>
    <t>1 Year</t>
  </si>
  <si>
    <t>5 Years</t>
  </si>
  <si>
    <t>10 Years</t>
  </si>
  <si>
    <t>Sales and Marketing</t>
  </si>
  <si>
    <t>Manual Review</t>
  </si>
  <si>
    <t>Unhandled</t>
  </si>
  <si>
    <t>Web;Mobile App</t>
  </si>
  <si>
    <t>Password Only</t>
  </si>
  <si>
    <t>Passwordless</t>
  </si>
  <si>
    <t>Microsoft Outlook</t>
  </si>
  <si>
    <t>Salesforce Marketing Cloud</t>
  </si>
  <si>
    <t>N/A</t>
  </si>
  <si>
    <t>IT Application Support</t>
  </si>
  <si>
    <t xml:space="preserve">IT Desktop Support </t>
  </si>
  <si>
    <t>IT Infrastructure Support</t>
  </si>
  <si>
    <t>AgreementsInPlace</t>
  </si>
  <si>
    <t>Agreements in Place</t>
  </si>
  <si>
    <t>Outlook;Thunderbird;Yahoo;Gmail</t>
  </si>
  <si>
    <t>Google Chrome</t>
  </si>
  <si>
    <t>Business Intelligence</t>
  </si>
  <si>
    <t>Consumer Applications</t>
  </si>
  <si>
    <t>Credit Operations</t>
  </si>
  <si>
    <t>Sales Operations</t>
  </si>
  <si>
    <t>Marketing Operations</t>
  </si>
  <si>
    <t>Service Operations</t>
  </si>
  <si>
    <t>Salesforce Service Cloud</t>
  </si>
  <si>
    <t>comprehensive_list=false</t>
  </si>
  <si>
    <t>Memo Anchor</t>
  </si>
  <si>
    <t>A Customer Relationship Management (CRM) platform focused on digital marketing automation and analytics that helps businesses manage their relationships with customers and execute marketing campaigns across various channels.</t>
  </si>
  <si>
    <t>Uses this value as the Graph Heading. Can be toggled on/off.</t>
  </si>
  <si>
    <t>Toggles on/off the inclusion of notes within clusters</t>
  </si>
  <si>
    <t>Toggles on/off the inclusion of notes on the main canvas (outside all clusters).</t>
  </si>
  <si>
    <t>Name of this file. Inclusion in Title block can be toggled on/off.</t>
  </si>
  <si>
    <t>Last saved date. Inclusion in Title block can be toggled on/off.</t>
  </si>
  <si>
    <t>Author's name to include in the Title block. Can be toggled on/off.</t>
  </si>
  <si>
    <t>Toggles on/off inclusion of Legend. Value controls where the legend is placed.</t>
  </si>
  <si>
    <t>Title to include in the Title block. Can be toggled on/off.</t>
  </si>
  <si>
    <t>IMAP</t>
  </si>
  <si>
    <t>Microsoft Graph API</t>
  </si>
  <si>
    <t>Gmail API</t>
  </si>
  <si>
    <t>Microsoft Exchange</t>
  </si>
  <si>
    <t>POP3</t>
  </si>
  <si>
    <t>Custom Properties</t>
  </si>
  <si>
    <t>Cloud</t>
  </si>
  <si>
    <t>Commercial</t>
  </si>
  <si>
    <t>Homegrown</t>
  </si>
  <si>
    <t>Open-source</t>
  </si>
  <si>
    <t>System</t>
  </si>
  <si>
    <t>Application Descriptions</t>
  </si>
  <si>
    <t>Actors</t>
  </si>
  <si>
    <t>Data Stores</t>
  </si>
  <si>
    <t>Application to Data Store</t>
  </si>
  <si>
    <t>Actor to Application</t>
  </si>
  <si>
    <t>Application to Application</t>
  </si>
  <si>
    <t>HIPAA</t>
  </si>
  <si>
    <t>Other</t>
  </si>
  <si>
    <t>FedRAMP</t>
  </si>
  <si>
    <t>CPRA</t>
  </si>
  <si>
    <t>HostingModel</t>
  </si>
  <si>
    <t>PaaS</t>
  </si>
  <si>
    <t>SaaS</t>
  </si>
  <si>
    <t>Client</t>
  </si>
  <si>
    <t>Direct API Call</t>
  </si>
  <si>
    <t>Data Change</t>
  </si>
  <si>
    <t>Minor</t>
  </si>
  <si>
    <t>Major</t>
  </si>
  <si>
    <t>Cloud IAM</t>
  </si>
  <si>
    <t>Integration Pattern</t>
  </si>
  <si>
    <t>Request/Response</t>
  </si>
  <si>
    <t>Event-Driven</t>
  </si>
  <si>
    <t>Batch</t>
  </si>
  <si>
    <t>Shared Database</t>
  </si>
  <si>
    <t>Data Streaming</t>
  </si>
  <si>
    <t>Message Broker</t>
  </si>
  <si>
    <t>Direct Network</t>
  </si>
  <si>
    <t>DirectNetwork</t>
  </si>
  <si>
    <t>Raw TCP UDP</t>
  </si>
  <si>
    <t>Service Mesh mTLS</t>
  </si>
  <si>
    <t>gRPC and HTTP2</t>
  </si>
  <si>
    <t>TCP or UDP Tunneling</t>
  </si>
  <si>
    <t>MFT</t>
  </si>
  <si>
    <t>Cloud Storage Buckets</t>
  </si>
  <si>
    <t>Webhooks and SSE</t>
  </si>
  <si>
    <t>JMS or MQ Messaging</t>
  </si>
  <si>
    <t>SOAP Web Services</t>
  </si>
  <si>
    <t>REST APIs</t>
  </si>
  <si>
    <t>Proprietary Adapters</t>
  </si>
  <si>
    <t>Data and File Integration</t>
  </si>
  <si>
    <t>Orchestration and BPEL</t>
  </si>
  <si>
    <t>CPaaS API</t>
  </si>
  <si>
    <t>SIP Trunk</t>
  </si>
  <si>
    <t>WebRTC</t>
  </si>
  <si>
    <t>CTI Dialer</t>
  </si>
  <si>
    <t>PSTN Legacy</t>
  </si>
  <si>
    <t>MessageBroker</t>
  </si>
  <si>
    <t>AMQP</t>
  </si>
  <si>
    <t>Kafka Protocol</t>
  </si>
  <si>
    <t>MQTT</t>
  </si>
  <si>
    <t>JMS</t>
  </si>
  <si>
    <t>STOMP</t>
  </si>
  <si>
    <t>HTTP Webhook</t>
  </si>
  <si>
    <t>CDC and Replication</t>
  </si>
  <si>
    <t>HTTP Data API</t>
  </si>
  <si>
    <t>SCIM</t>
  </si>
  <si>
    <t>Append</t>
  </si>
  <si>
    <t>Delete</t>
  </si>
  <si>
    <t>Execute</t>
  </si>
  <si>
    <t>Peek</t>
  </si>
  <si>
    <t>Ack</t>
  </si>
  <si>
    <t>Clone</t>
  </si>
  <si>
    <t>OAuth2 or OIDC</t>
  </si>
  <si>
    <t>SAML Federation</t>
  </si>
  <si>
    <t>Service Account or App ID</t>
  </si>
  <si>
    <t>Continuous Point in Time Recovery</t>
  </si>
  <si>
    <t>Hourly Snapshots</t>
  </si>
  <si>
    <t>Daily Snapshots</t>
  </si>
  <si>
    <t>Weekly Backups</t>
  </si>
  <si>
    <t>Dead Letter Queue</t>
  </si>
  <si>
    <t>DataResidency</t>
  </si>
  <si>
    <t>Local Region Only</t>
  </si>
  <si>
    <t>Multi Region Replicated</t>
  </si>
  <si>
    <t>Sovereign Cloud Isolated</t>
  </si>
  <si>
    <t>On Premise Enterprise Center</t>
  </si>
  <si>
    <t>Global No Restrictions</t>
  </si>
  <si>
    <t>Localized Edge Device</t>
  </si>
  <si>
    <t>Greater than 10 Years</t>
  </si>
  <si>
    <t>Up to 10</t>
  </si>
  <si>
    <t>Up to 100</t>
  </si>
  <si>
    <t>Up to 1,000</t>
  </si>
  <si>
    <t>Up to 10,000</t>
  </si>
  <si>
    <t>Up to 50,000</t>
  </si>
  <si>
    <t>Up to 100,000</t>
  </si>
  <si>
    <t>Up to 500,000</t>
  </si>
  <si>
    <t>Up to 1,000,000</t>
  </si>
  <si>
    <t>More than 1,000,000</t>
  </si>
  <si>
    <t>x</t>
  </si>
  <si>
    <t>IaaS</t>
  </si>
  <si>
    <t>Cloud Identity Provider</t>
  </si>
  <si>
    <t>Hosting Model</t>
  </si>
  <si>
    <t>Data Residency</t>
  </si>
  <si>
    <t>RetryStrategy</t>
  </si>
  <si>
    <t>Exponential Backoff</t>
  </si>
  <si>
    <t>Immediate</t>
  </si>
  <si>
    <t>FailureDisposition</t>
  </si>
  <si>
    <t>Fallback Route</t>
  </si>
  <si>
    <t>Return Error to Caller</t>
  </si>
  <si>
    <t>Discard</t>
  </si>
  <si>
    <t>Failure Disposition</t>
  </si>
  <si>
    <t>Retry Strategy</t>
  </si>
  <si>
    <t>Failure Alerting</t>
  </si>
  <si>
    <t>FailureAlerting</t>
  </si>
  <si>
    <t>Logged Only</t>
  </si>
  <si>
    <t>Alert</t>
  </si>
  <si>
    <t>Fixed Interval</t>
  </si>
  <si>
    <t>Circuit Breaker</t>
  </si>
  <si>
    <r>
      <rPr>
        <sz val="11"/>
        <color rgb="FFFF0000"/>
        <rFont val="Calibri"/>
        <family val="2"/>
        <scheme val="minor"/>
      </rPr>
      <t>TLDR: DO NOT CHANGE VALUE OR DELETE THIS ROW</t>
    </r>
    <r>
      <rPr>
        <sz val="11"/>
        <color theme="1"/>
        <rFont val="Calibri"/>
        <family val="2"/>
        <scheme val="minor"/>
      </rPr>
      <t xml:space="preserve">
Do not delete or shorten this value. Excel's SQL driver truncates concatenated text to 255 characters unless one of the inputs is a Memo (long text) field. Queries that build long columns such as PROPERTIES and LABEL join to this row and append a zero-length piece of it, Left(MemoAnchor &amp; '', 0), which adds nothing to the output but forces the result to be treated as Memo. The value must stay longer than 255 characters and near the top of this sheet so the driver detects the column as Memo. If this row is missing, those queries return no rows.</t>
    </r>
  </si>
  <si>
    <t>Information Technology</t>
  </si>
  <si>
    <t>Web</t>
  </si>
  <si>
    <t>System Administrator</t>
  </si>
  <si>
    <t>Review queues and application log files</t>
  </si>
  <si>
    <t>Catalog CRM email templates in database</t>
  </si>
  <si>
    <t>Copyright © 2026 Jeffrey J. Long. The structure, lists and formulas of this workbook are released under the MIT License (see LICENSE in the repository).</t>
  </si>
  <si>
    <t>The data you enter is yours. The copyright applies only to the template, not to the information you record in it.</t>
  </si>
  <si>
    <t>Requires Relationship Visualizer 11.1 or later, on Windows.</t>
  </si>
  <si>
    <r>
      <t>Context Diagram Data</t>
    </r>
    <r>
      <rPr>
        <sz val="11"/>
        <color theme="1"/>
        <rFont val="Calibri"/>
        <family val="2"/>
        <scheme val="minor"/>
      </rPr>
      <t xml:space="preserve">: </t>
    </r>
  </si>
  <si>
    <r>
      <t>Version:</t>
    </r>
    <r>
      <rPr>
        <sz val="11"/>
        <color theme="1"/>
        <rFont val="Calibri"/>
        <family val="2"/>
        <scheme val="minor"/>
      </rPr>
      <t xml:space="preserve"> </t>
    </r>
  </si>
  <si>
    <t>1.0.0</t>
  </si>
  <si>
    <t xml:space="preserve">Toolkit: </t>
  </si>
  <si>
    <t>https://github.com/jjlong150/rv-kgf-context-diagram</t>
  </si>
  <si>
    <t>Relationship Visualizer:</t>
  </si>
  <si>
    <t>https://exceltographviz.com</t>
  </si>
  <si>
    <t>A data workbook for the Context Diagram toolkit for Relationship Visualizer.</t>
  </si>
  <si>
    <t>https://github.com/jjlong150/rv-kgf</t>
  </si>
  <si>
    <t xml:space="preserve">Knowledge Graph Schema: </t>
  </si>
  <si>
    <t>App Log Files</t>
  </si>
  <si>
    <t>Notification History</t>
  </si>
  <si>
    <t>Stores notification messages that could not be transmitted to the Marketing CRM, preserving them for inspection, retry, or remediation.</t>
  </si>
  <si>
    <t>Server‑generated log files containing diagnostic messages recorded during technical faults or unexpected application behavior.</t>
  </si>
  <si>
    <t>Retains request tracking numbers and delivery histories to support auditability, traceability, and compliance.</t>
  </si>
  <si>
    <t>Stores and sequences notification messages until they are ready for delivery, ensuring they are processed in the correct order and at the appropriate time.</t>
  </si>
  <si>
    <t>Runs once per minute to signal Consumer Notifications to check for tasks.</t>
  </si>
  <si>
    <t>Administers the Consumer Notifications application, performing configuration, monitoring, and operational management tasks.</t>
  </si>
  <si>
    <t>Add to error resolution queue</t>
  </si>
  <si>
    <t>Release from error resolution queue</t>
  </si>
  <si>
    <t>Record technical faults</t>
  </si>
  <si>
    <t>Insert event record</t>
  </si>
  <si>
    <t>Distribution List</t>
  </si>
  <si>
    <t>Marketing Department</t>
  </si>
  <si>
    <t>Contains email addresses and associated personalization values.</t>
  </si>
  <si>
    <t>Campaign Owner</t>
  </si>
  <si>
    <t>Defines the email campaign and supplies the distribution list.</t>
  </si>
  <si>
    <t>Upload email distribution list</t>
  </si>
  <si>
    <t>Reads CSV file, generates notification requests</t>
  </si>
  <si>
    <t>Use Case 1: Consumer has applied for credit, and is waiting to learn of the decision.</t>
  </si>
  <si>
    <t>Four delivery attempts are made. After four failures, the request moves to the Dead Letter Queue of manual resolution.</t>
  </si>
  <si>
    <t>System Administrator creates email templates in the Marketing CRM and catalogs them in Consumer Notifications for use.</t>
  </si>
  <si>
    <t>Consumer Notifications involving mobile text messages and push notifications are outside the scope of this context diagram.</t>
  </si>
  <si>
    <t>Use Case 2: Sales and Marketing is running an email campaign.</t>
  </si>
  <si>
    <t>Campaign Owner uploads the targeted customer distribution list, selects the email template, and designates when delivery should occur.</t>
  </si>
  <si>
    <t>Email Template Catalog</t>
  </si>
  <si>
    <t>Catalogs the names of email templates maintained within the Marketing CRM for campaign and notification use.</t>
  </si>
  <si>
    <t>Add new template name to catalog</t>
  </si>
  <si>
    <t>Validate requested notification template exists</t>
  </si>
  <si>
    <t>Build rich HTML email templates within Marketing CRM platform.</t>
  </si>
  <si>
    <t>Cloudflare Secure Web Gateway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</si>
</sst>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rgb="FFFF0000"/>
      <name val="Calibri"/>
      <family val="2"/>
      <scheme val="minor"/>
    </font>
    <font>
      <sz val="11"/>
      <color theme="4"/>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sz val="9"/>
      <color indexed="81"/>
      <name val="Tahoma"/>
      <family val="2"/>
    </font>
    <font>
      <i/>
      <sz val="11"/>
      <color theme="1"/>
      <name val="Calibri"/>
      <family val="2"/>
      <scheme val="minor"/>
    </font>
    <font>
      <b/>
      <sz val="11"/>
      <color rgb="FFFFFFFF"/>
      <name val="Calibri"/>
      <family val="2"/>
      <scheme val="minor"/>
    </font>
    <font>
      <sz val="11"/>
      <color rgb="FF4472C4"/>
      <name val="Calibri"/>
      <family val="2"/>
      <scheme val="minor"/>
    </font>
    <font>
      <b/>
      <sz val="11"/>
      <color theme="1" tint="0.34998626667073579"/>
      <name val="Calibri"/>
      <family val="2"/>
      <scheme val="minor"/>
    </font>
    <font>
      <sz val="11"/>
      <color rgb="FFFFFFFF"/>
      <name val="Calibri"/>
      <family val="2"/>
      <scheme val="minor"/>
    </font>
    <font>
      <u/>
      <sz val="11"/>
      <color theme="10"/>
      <name val="Calibri"/>
      <family val="2"/>
      <scheme val="minor"/>
    </font>
  </fonts>
  <fills count="10">
    <fill>
      <patternFill patternType="none"/>
    </fill>
    <fill>
      <patternFill patternType="gray125"/>
    </fill>
    <fill>
      <patternFill patternType="solid">
        <fgColor theme="4"/>
        <bgColor theme="4"/>
      </patternFill>
    </fill>
    <fill>
      <patternFill patternType="solid">
        <fgColor theme="5"/>
        <bgColor theme="5"/>
      </patternFill>
    </fill>
    <fill>
      <patternFill patternType="solid">
        <fgColor theme="8" tint="0.79998168889431442"/>
        <bgColor indexed="64"/>
      </patternFill>
    </fill>
    <fill>
      <patternFill patternType="solid">
        <fgColor rgb="FFFFC000"/>
        <bgColor indexed="64"/>
      </patternFill>
    </fill>
    <fill>
      <patternFill patternType="solid">
        <fgColor rgb="FF4472C4"/>
        <bgColor indexed="64"/>
      </patternFill>
    </fill>
    <fill>
      <patternFill patternType="solid">
        <fgColor rgb="FF00B0F0"/>
        <bgColor indexed="64"/>
      </patternFill>
    </fill>
    <fill>
      <patternFill patternType="solid">
        <fgColor rgb="FF00B0F0"/>
        <bgColor theme="4"/>
      </patternFill>
    </fill>
    <fill>
      <patternFill patternType="solid">
        <fgColor rgb="FF70AD47"/>
        <bgColor indexed="64"/>
      </patternFill>
    </fill>
  </fills>
  <borders count="10">
    <border>
      <left/>
      <right/>
      <top/>
      <bottom/>
      <diagonal/>
    </border>
    <border>
      <left style="thin">
        <color theme="4"/>
      </left>
      <right style="thin">
        <color theme="4"/>
      </right>
      <top style="thin">
        <color theme="4"/>
      </top>
      <bottom/>
      <diagonal/>
    </border>
    <border>
      <left style="thin">
        <color theme="5"/>
      </left>
      <right style="thin">
        <color theme="5"/>
      </right>
      <top style="thin">
        <color theme="5"/>
      </top>
      <bottom/>
      <diagonal/>
    </border>
    <border>
      <left style="thin">
        <color theme="4"/>
      </left>
      <right style="thin">
        <color theme="4"/>
      </right>
      <top style="thin">
        <color indexed="64"/>
      </top>
      <bottom/>
      <diagonal/>
    </border>
    <border>
      <left style="thin">
        <color theme="5"/>
      </left>
      <right style="thin">
        <color theme="5"/>
      </right>
      <top style="thin">
        <color theme="5"/>
      </top>
      <bottom style="thin">
        <color theme="5"/>
      </bottom>
      <diagonal/>
    </border>
    <border>
      <left style="thin">
        <color theme="4"/>
      </left>
      <right style="thin">
        <color theme="4"/>
      </right>
      <top style="thin">
        <color theme="4"/>
      </top>
      <bottom style="thin">
        <color indexed="64"/>
      </bottom>
      <diagonal/>
    </border>
    <border>
      <left style="thin">
        <color theme="4"/>
      </left>
      <right style="thin">
        <color theme="4"/>
      </right>
      <top style="thin">
        <color theme="4"/>
      </top>
      <bottom style="thin">
        <color theme="4"/>
      </bottom>
      <diagonal/>
    </border>
    <border>
      <left/>
      <right/>
      <top style="thin">
        <color theme="6"/>
      </top>
      <bottom/>
      <diagonal/>
    </border>
    <border>
      <left/>
      <right style="thin">
        <color theme="6"/>
      </right>
      <top style="thin">
        <color theme="6"/>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xf numFmtId="0" fontId="4" fillId="0" borderId="0"/>
    <xf numFmtId="0" fontId="14" fillId="0" borderId="0" applyNumberFormat="0" applyFill="0" applyBorder="0" applyAlignment="0" applyProtection="0"/>
  </cellStyleXfs>
  <cellXfs count="54">
    <xf numFmtId="0" fontId="0" fillId="0" borderId="0" xfId="0"/>
    <xf numFmtId="0" fontId="1" fillId="0" borderId="0" xfId="0" applyFont="1"/>
    <xf numFmtId="0" fontId="3" fillId="0" borderId="0" xfId="0" applyFont="1"/>
    <xf numFmtId="0" fontId="1" fillId="0" borderId="0" xfId="0" applyFont="1"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2" xfId="0" applyBorder="1"/>
    <xf numFmtId="0" fontId="0" fillId="0" borderId="4" xfId="0" applyBorder="1"/>
    <xf numFmtId="0" fontId="0" fillId="0" borderId="1" xfId="0" applyBorder="1"/>
    <xf numFmtId="0" fontId="0" fillId="0" borderId="6" xfId="0" applyBorder="1"/>
    <xf numFmtId="0" fontId="5" fillId="2" borderId="1" xfId="0" applyFont="1" applyFill="1" applyBorder="1"/>
    <xf numFmtId="0" fontId="0" fillId="0" borderId="3" xfId="0" applyBorder="1"/>
    <xf numFmtId="0" fontId="0" fillId="0" borderId="5" xfId="0" applyBorder="1"/>
    <xf numFmtId="0" fontId="5" fillId="3" borderId="2" xfId="0" applyFont="1" applyFill="1" applyBorder="1"/>
    <xf numFmtId="0" fontId="6" fillId="0" borderId="0" xfId="0" applyFont="1" applyAlignment="1">
      <alignment vertical="top"/>
    </xf>
    <xf numFmtId="0" fontId="1" fillId="0" borderId="0" xfId="0" applyFont="1" applyAlignment="1">
      <alignment vertical="top" wrapText="1"/>
    </xf>
    <xf numFmtId="0" fontId="6" fillId="0" borderId="0" xfId="0" applyFont="1" applyAlignment="1">
      <alignment vertical="top" wrapText="1"/>
    </xf>
    <xf numFmtId="0" fontId="0" fillId="0" borderId="7" xfId="0" applyBorder="1" applyAlignment="1">
      <alignment vertical="top"/>
    </xf>
    <xf numFmtId="0" fontId="0" fillId="0" borderId="8" xfId="0" applyBorder="1" applyAlignment="1">
      <alignment vertical="top"/>
    </xf>
    <xf numFmtId="0" fontId="0" fillId="0" borderId="9" xfId="0" applyBorder="1"/>
    <xf numFmtId="0" fontId="0" fillId="0" borderId="9" xfId="0" quotePrefix="1" applyBorder="1"/>
    <xf numFmtId="0" fontId="11" fillId="0" borderId="0" xfId="0" applyFont="1"/>
    <xf numFmtId="0" fontId="10" fillId="6" borderId="0" xfId="0" applyFont="1" applyFill="1"/>
    <xf numFmtId="0" fontId="11" fillId="0" borderId="0" xfId="0" applyFont="1" applyAlignment="1">
      <alignment vertical="top"/>
    </xf>
    <xf numFmtId="0" fontId="12" fillId="5" borderId="0" xfId="0" applyFont="1" applyFill="1"/>
    <xf numFmtId="0" fontId="10" fillId="0" borderId="0" xfId="0" applyFont="1"/>
    <xf numFmtId="0" fontId="13" fillId="0" borderId="0" xfId="0" applyFont="1"/>
    <xf numFmtId="0" fontId="10" fillId="7" borderId="0" xfId="0" applyFont="1" applyFill="1" applyAlignment="1">
      <alignment vertical="top"/>
    </xf>
    <xf numFmtId="0" fontId="10" fillId="7" borderId="0" xfId="0" applyFont="1" applyFill="1" applyAlignment="1">
      <alignment horizontal="left" vertical="top"/>
    </xf>
    <xf numFmtId="0" fontId="0" fillId="0" borderId="0" xfId="0" applyAlignment="1">
      <alignment wrapText="1"/>
    </xf>
    <xf numFmtId="0" fontId="0" fillId="5" borderId="0" xfId="0" applyFill="1"/>
    <xf numFmtId="0" fontId="5" fillId="8" borderId="1" xfId="0" applyFont="1" applyFill="1" applyBorder="1"/>
    <xf numFmtId="0" fontId="10" fillId="9" borderId="0" xfId="0" applyFont="1" applyFill="1"/>
    <xf numFmtId="0" fontId="5" fillId="2" borderId="1" xfId="0" applyFont="1" applyFill="1" applyBorder="1" applyAlignment="1">
      <alignment horizontal="left"/>
    </xf>
    <xf numFmtId="0" fontId="11" fillId="0" borderId="0" xfId="0" applyFont="1" applyAlignment="1">
      <alignment horizontal="left" vertical="top"/>
    </xf>
    <xf numFmtId="0" fontId="0" fillId="0" borderId="0" xfId="0" quotePrefix="1"/>
    <xf numFmtId="0" fontId="14" fillId="0" borderId="0" xfId="2" quotePrefix="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left" vertical="top"/>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xf numFmtId="0" fontId="9" fillId="4" borderId="0" xfId="0" applyFont="1" applyFill="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0" fontId="10" fillId="6" borderId="0" xfId="0" applyFont="1" applyFill="1" applyAlignment="1">
      <alignment vertical="top"/>
    </xf>
    <xf numFmtId="0" fontId="10" fillId="0" borderId="0" xfId="0" applyFont="1" applyAlignment="1">
      <alignment vertical="top" wrapText="1"/>
    </xf>
    <xf numFmtId="0" fontId="10" fillId="0" borderId="0" xfId="0" applyFont="1" applyAlignment="1">
      <alignment vertical="top"/>
    </xf>
    <xf numFmtId="0" fontId="0" fillId="0" borderId="0" xfId="0" applyAlignment="1">
      <alignment horizontal="left" vertical="top" wrapText="1"/>
    </xf>
    <xf numFmtId="0" fontId="0" fillId="0" borderId="0" xfId="0" applyAlignment="1">
      <alignment horizontal="left" wrapText="1"/>
    </xf>
  </cellXfs>
  <cellStyles count="3">
    <cellStyle name="Hyperlink" xfId="2" builtinId="8"/>
    <cellStyle name="Normal" xfId="0" builtinId="0"/>
    <cellStyle name="Normal 2" xfId="1" xr:uid="{26B342FD-2AE4-4C5F-856B-9436E551CE37}"/>
  </cellStyles>
  <dxfs count="125">
    <dxf>
      <font>
        <color rgb="FFFF0000"/>
      </font>
    </dxf>
    <dxf>
      <font>
        <color rgb="FFFF0000"/>
      </font>
      <fill>
        <patternFill patternType="none">
          <bgColor auto="1"/>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fill>
        <patternFill patternType="none">
          <bgColor auto="1"/>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4"/>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4"/>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color theme="4"/>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color theme="4"/>
        <name val="Calibri"/>
        <family val="2"/>
        <scheme val="minor"/>
      </font>
      <alignment horizontal="general" vertical="top" textRotation="0" wrapText="0" indent="0" justifyLastLine="0" shrinkToFit="0" readingOrder="0"/>
    </dxf>
    <dxf>
      <font>
        <strike val="0"/>
        <outline val="0"/>
        <shadow val="0"/>
        <vertAlign val="baseline"/>
        <sz val="11"/>
        <name val="Calibri"/>
        <family val="2"/>
        <scheme val="minor"/>
      </font>
      <alignment horizontal="general" vertical="top" textRotation="0" wrapText="1" indent="0" justifyLastLine="0" shrinkToFit="0" readingOrder="0"/>
    </dxf>
    <dxf>
      <font>
        <strike val="0"/>
        <outline val="0"/>
        <shadow val="0"/>
        <vertAlign val="baseline"/>
        <sz val="11"/>
        <name val="Calibri"/>
        <family val="2"/>
        <scheme val="minor"/>
      </font>
      <alignment horizontal="general" vertical="top" textRotation="0" wrapText="1" indent="0" justifyLastLine="0" shrinkToFit="0" readingOrder="0"/>
    </dxf>
    <dxf>
      <font>
        <strike val="0"/>
        <outline val="0"/>
        <shadow val="0"/>
        <vertAlign val="baseline"/>
        <sz val="11"/>
        <name val="Calibri"/>
        <family val="2"/>
        <scheme val="minor"/>
      </font>
      <alignment horizontal="general" vertical="top" textRotation="0" wrapText="1" indent="0" justifyLastLine="0" shrinkToFit="0" readingOrder="0"/>
    </dxf>
    <dxf>
      <font>
        <strike val="0"/>
        <outline val="0"/>
        <shadow val="0"/>
        <vertAlign val="baseline"/>
        <sz val="11"/>
        <name val="Calibri"/>
        <family val="2"/>
        <scheme val="minor"/>
      </font>
      <alignment horizontal="general" vertical="top" textRotation="0" wrapText="1" indent="0" justifyLastLine="0" shrinkToFit="0" readingOrder="0"/>
    </dxf>
    <dxf>
      <font>
        <strike val="0"/>
        <outline val="0"/>
        <shadow val="0"/>
        <vertAlign val="baseline"/>
        <sz val="11"/>
        <name val="Calibri"/>
        <family val="2"/>
        <scheme val="minor"/>
      </font>
      <alignment horizontal="general" vertical="top" textRotation="0" wrapText="1" indent="0" justifyLastLine="0" shrinkToFit="0" readingOrder="0"/>
    </dxf>
    <dxf>
      <font>
        <strike val="0"/>
        <outline val="0"/>
        <shadow val="0"/>
        <vertAlign val="baseline"/>
        <sz val="11"/>
        <name val="Calibri"/>
        <family val="2"/>
        <scheme val="minor"/>
      </font>
      <alignment horizontal="general" vertical="top" textRotation="0" wrapText="0" indent="0" justifyLastLine="0" shrinkToFit="0" readingOrder="0"/>
    </dxf>
    <dxf>
      <font>
        <strike val="0"/>
        <outline val="0"/>
        <shadow val="0"/>
        <vertAlign val="baseline"/>
        <sz val="11"/>
        <name val="Calibri"/>
        <family val="2"/>
        <scheme val="minor"/>
      </font>
      <alignment horizontal="general" vertical="top" textRotation="0" wrapText="0" indent="0" justifyLastLine="0" shrinkToFit="0" readingOrder="0"/>
    </dxf>
    <dxf>
      <font>
        <strike val="0"/>
        <outline val="0"/>
        <shadow val="0"/>
        <vertAlign val="baseline"/>
        <sz val="11"/>
        <name val="Calibri"/>
        <family val="2"/>
        <scheme val="minor"/>
      </font>
      <alignment horizontal="general" vertical="top" textRotation="0" wrapText="0" indent="0" justifyLastLine="0" shrinkToFit="0" readingOrder="0"/>
    </dxf>
    <dxf>
      <font>
        <strike val="0"/>
        <outline val="0"/>
        <shadow val="0"/>
        <vertAlign val="baseline"/>
        <sz val="1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theme="4"/>
        <name val="Calibri"/>
        <family val="2"/>
        <scheme val="minor"/>
      </font>
    </dxf>
    <dxf>
      <font>
        <b/>
        <i val="0"/>
        <strike val="0"/>
        <condense val="0"/>
        <extend val="0"/>
        <outline val="0"/>
        <shadow val="0"/>
        <u val="none"/>
        <vertAlign val="baseline"/>
        <sz val="11"/>
        <color rgb="FFFFFFFF"/>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72C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rgb="FF4472C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1"/>
        <color rgb="FFFFFFFF"/>
        <name val="Calibri"/>
        <family val="2"/>
        <scheme val="minor"/>
      </font>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wrapText="0"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strike val="0"/>
        <outline val="0"/>
        <shadow val="0"/>
        <u val="none"/>
        <vertAlign val="baseline"/>
        <sz val="11"/>
        <color rgb="FF4472C4"/>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wrapText="0" indent="0" justifyLastLine="0" shrinkToFit="0" readingOrder="0"/>
    </dxf>
    <dxf>
      <font>
        <strike val="0"/>
        <outline val="0"/>
        <shadow val="0"/>
        <u val="none"/>
        <vertAlign val="baseline"/>
        <sz val="11"/>
        <color rgb="FF4472C4"/>
        <name val="Calibri"/>
        <family val="2"/>
        <scheme val="minor"/>
      </font>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4"/>
        <name val="Calibri"/>
        <family val="2"/>
        <scheme val="minor"/>
      </font>
    </dxf>
    <dxf>
      <font>
        <strike val="0"/>
        <outline val="0"/>
        <shadow val="0"/>
        <u val="none"/>
        <vertAlign val="baseline"/>
        <sz val="11"/>
        <color rgb="FF4472C4"/>
        <name val="Calibri"/>
        <family val="2"/>
        <scheme val="minor"/>
      </font>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color rgb="FF4472C4"/>
        <name val="Calibri"/>
        <family val="2"/>
        <scheme val="minor"/>
      </font>
      <alignment horizontal="general" vertical="top" textRotation="0" wrapText="0" indent="0" justifyLastLine="0" shrinkToFit="0" readingOrder="0"/>
    </dxf>
    <dxf>
      <font>
        <strike val="0"/>
        <outline val="0"/>
        <shadow val="0"/>
        <u val="none"/>
        <vertAlign val="baseline"/>
        <sz val="11"/>
        <color rgb="FF4472C4"/>
        <name val="Calibri"/>
        <family val="2"/>
        <scheme val="minor"/>
      </font>
      <alignment horizontal="general" vertical="top" textRotation="0" wrapText="0" indent="0" justifyLastLine="0" shrinkToFit="0" readingOrder="0"/>
    </dxf>
    <dxf>
      <font>
        <strike val="0"/>
        <outline val="0"/>
        <shadow val="0"/>
        <u val="none"/>
        <vertAlign val="baseline"/>
        <sz val="11"/>
        <color rgb="FF4472C4"/>
        <name val="Calibri"/>
        <family val="2"/>
        <scheme val="minor"/>
      </font>
      <alignment horizontal="general" vertical="top" textRotation="0" wrapText="0" indent="0" justifyLastLine="0" shrinkToFit="0" readingOrder="0"/>
    </dxf>
    <dxf>
      <font>
        <strike val="0"/>
        <outline val="0"/>
        <shadow val="0"/>
        <u val="none"/>
        <vertAlign val="baseline"/>
        <sz val="11"/>
        <color rgb="FF4472C4"/>
        <name val="Calibri"/>
        <family val="2"/>
        <scheme val="minor"/>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rgb="FF4472C4"/>
        <name val="Calibri"/>
        <family val="2"/>
        <scheme val="minor"/>
      </font>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indent="0" justifyLastLine="0" shrinkToFit="0" readingOrder="0"/>
    </dxf>
    <dxf>
      <alignment horizontal="general" vertical="top"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FFFFCC"/>
      <color rgb="FFFFFFFF"/>
      <color rgb="FF70AD47"/>
      <color rgb="FF00B0F0"/>
      <color rgb="FFFFC000"/>
      <color rgb="FF4472C4"/>
      <color rgb="FF5B9BD5"/>
      <color rgb="FFFFCC00"/>
      <color rgb="FF1E4E79"/>
      <color rgb="FF3054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9C33D5-472D-45F9-BCF1-9D4D6355490C}" name="HiddenOptions" displayName="HiddenOptions" ref="A1:C2" totalsRowShown="0">
  <autoFilter ref="A1:C2" xr:uid="{2D73AA40-B626-48DB-BA46-9A462737E0EC}"/>
  <tableColumns count="3">
    <tableColumn id="2" xr3:uid="{37ACF3AA-2B0E-4F1F-9A32-4F3FC0FF43F8}" name="Option" dataDxfId="124"/>
    <tableColumn id="4" xr3:uid="{AEA678C9-C761-4BFB-9890-22D6FD59690D}" name="Value" dataDxfId="123"/>
    <tableColumn id="3" xr3:uid="{34B00B9C-5B9D-4854-8E2E-3D46FEBE766C}" name="Description" dataDxfId="12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73AA40-B626-48DB-BA46-9A462737E0EC}" name="Options" displayName="Options" ref="A1:D9" totalsRowShown="0">
  <autoFilter ref="A1:D9" xr:uid="{2D73AA40-B626-48DB-BA46-9A462737E0EC}"/>
  <tableColumns count="4">
    <tableColumn id="2" xr3:uid="{C3D4F818-685D-4A1D-9F66-BB9308E86BB8}" name="Option" dataDxfId="121"/>
    <tableColumn id="1" xr3:uid="{8821F522-2AE1-46D0-BE93-4E3ED64698BA}" name="Enabled" dataDxfId="120"/>
    <tableColumn id="4" xr3:uid="{F46BC49A-EE60-49BA-BB27-658378BC9F9E}" name="Value" dataDxfId="119"/>
    <tableColumn id="3" xr3:uid="{28E12304-8423-40FA-9B59-77C45D8B91D7}" name="Description" dataDxfId="11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F988EC-B977-44E6-82E5-A9C995AF24F3}" name="ActorsList" displayName="ActorsList" ref="A1:J5" totalsRowShown="0" headerRowDxfId="117" dataDxfId="116">
  <autoFilter ref="A1:J5" xr:uid="{6DF988EC-B977-44E6-82E5-A9C995AF24F3}"/>
  <tableColumns count="10">
    <tableColumn id="1" xr3:uid="{E2F754CC-6AC1-41F7-B418-B5E8BC89A2D7}" name="Actor" dataDxfId="115"/>
    <tableColumn id="2" xr3:uid="{025D0C65-7BE8-48FA-BB24-0B2A14B81679}" name="Actor Type" dataDxfId="114"/>
    <tableColumn id="3" xr3:uid="{75BD6B6A-163B-4B3F-BDD2-0DD568BE0D53}" name="Boundary 1" dataDxfId="113"/>
    <tableColumn id="5" xr3:uid="{7F41E55B-262C-43D1-9E6A-A0724F61A017}" name="Boundary 2" dataDxfId="112"/>
    <tableColumn id="4" xr3:uid="{706AD22E-6309-4646-8DE7-7B119270AFA7}" name="Description" dataDxfId="111"/>
    <tableColumn id="10" xr3:uid="{C0925E23-26ED-4624-A635-019BCBCEB39A}" name="Custom Properties" dataDxfId="110"/>
    <tableColumn id="6" xr3:uid="{1523638C-7546-45B7-9C54-73ABDF6F75DE}" name="Origin" dataDxfId="109"/>
    <tableColumn id="7" xr3:uid="{B7BA134A-51B9-48AC-AF30-08CBDEBA0852}" name="Population Scale" dataDxfId="108"/>
    <tableColumn id="8" xr3:uid="{0EF35059-C5D2-4914-A382-79184939B465}" name="Trigger Source" dataDxfId="107"/>
    <tableColumn id="9" xr3:uid="{0FACA40E-A64F-4046-9696-285D0E20EB48}" name="Failure Impact" dataDxfId="106"/>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776C3-5ECB-482E-BE0A-84BD1BD30FDA}" name="ApplicationsInScope" displayName="ApplicationsInScope" ref="A1:F7" totalsRowShown="0" headerRowDxfId="105">
  <autoFilter ref="A1:F7" xr:uid="{CC9776C3-5ECB-482E-BE0A-84BD1BD30FDA}"/>
  <tableColumns count="6">
    <tableColumn id="1" xr3:uid="{0AE6E26C-9A99-43B0-BBDD-2FB3A61A21C6}" name="Application Title" dataDxfId="104"/>
    <tableColumn id="2" xr3:uid="{E099B746-AB34-479E-A96D-BCA04680D3A4}" name="Emphasize" dataDxfId="103"/>
    <tableColumn id="3" xr3:uid="{19DB3ED1-1C85-4589-8881-7DC22AA76408}" name="Boundary 1"/>
    <tableColumn id="4" xr3:uid="{D2D2D25B-FEC9-4542-93C3-4964D06CE9E5}" name="Boundary 2"/>
    <tableColumn id="5" xr3:uid="{CBC16924-2DDD-427E-93EE-63ED9BAFC54C}" name="Vendor Product"/>
    <tableColumn id="6" xr3:uid="{7391A322-0DFD-44DA-8212-9056D701F433}" name="Custom Properties"/>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D67AEC-D45F-47C6-9B43-25EE505123F5}" name="DataStoresList" displayName="DataStoresList" ref="A1:Q7" totalsRowShown="0" headerRowDxfId="102" dataDxfId="101">
  <autoFilter ref="A1:Q7" xr:uid="{DBD67AEC-D45F-47C6-9B43-25EE505123F5}"/>
  <tableColumns count="17">
    <tableColumn id="1" xr3:uid="{79C491F6-0C3D-47E7-B2D4-581991F03032}" name="Data Store" dataDxfId="100"/>
    <tableColumn id="2" xr3:uid="{6153DAC3-0DCC-4B6B-A74B-E0D9EC6DF8C7}" name="Data Store Type" dataDxfId="99"/>
    <tableColumn id="3" xr3:uid="{19762D62-370D-4AE3-8B84-BDB7F1F3861D}" name="Boundary 1" dataDxfId="98"/>
    <tableColumn id="4" xr3:uid="{D501B116-8337-4743-B68E-AEECC8872CCB}" name="Boundary 2" dataDxfId="97"/>
    <tableColumn id="5" xr3:uid="{261EB9B6-D87E-4160-AE12-1ADCAB82BA93}" name="Description" dataDxfId="96"/>
    <tableColumn id="11" xr3:uid="{B2637B15-B5D8-42A5-B800-D9EBB55E1841}" name="Data Owner" dataDxfId="95"/>
    <tableColumn id="14" xr3:uid="{E4AEF906-4C33-4F14-AEAC-77180CEEFA8A}" name="Custom Properties" dataDxfId="94"/>
    <tableColumn id="13" xr3:uid="{B6E12689-9975-43D6-AB15-FE9F320A3921}" name="Deployment Model" dataDxfId="93"/>
    <tableColumn id="15" xr3:uid="{1E59410F-0593-4932-A729-5C02A263570D}" name="Data Residency" dataDxfId="92"/>
    <tableColumn id="6" xr3:uid="{4FE5EC76-9326-4336-A970-F03FA75CF9DB}" name="Data Classification" dataDxfId="91"/>
    <tableColumn id="7" xr3:uid="{53F8150F-EF82-495B-8653-2B2C757D5604}" name="Contains PII" dataDxfId="90"/>
    <tableColumn id="8" xr3:uid="{BDF5E2B3-4B71-41D4-BB8D-CF3E9F4B8ABA}" name="Retention Period" dataDxfId="89"/>
    <tableColumn id="9" xr3:uid="{868AD3F6-9815-4DFA-AE6A-AC3D61111DD9}" name="Failure Disposition" dataDxfId="88"/>
    <tableColumn id="16" xr3:uid="{495F5ACF-5E7D-4BA5-A89D-D9CFD29A3369}" name="Retry Strategy" dataDxfId="87"/>
    <tableColumn id="17" xr3:uid="{C7BDF628-E80D-465A-ADFF-3AC8B6D2C256}" name="Failure Alerting" dataDxfId="86"/>
    <tableColumn id="10" xr3:uid="{B3082ABE-F58F-455F-A3A9-844C3F2DE630}" name="Encryption at Rest" dataDxfId="85"/>
    <tableColumn id="12" xr3:uid="{8E473D71-A9B3-4C7F-BC08-48EF4AB3AC23}" name="Backup Strategy" dataDxfId="84"/>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5710D4-E501-4A7D-9C4F-8B10DC6366D4}" name="Notes" displayName="Notes" ref="A1:E10" totalsRowShown="0">
  <autoFilter ref="A1:E10" xr:uid="{2D73AA40-B626-48DB-BA46-9A462737E0EC}"/>
  <tableColumns count="5">
    <tableColumn id="1" xr3:uid="{8425BC28-5859-4EA2-9121-C6772C926660}" name="ID" dataDxfId="83"/>
    <tableColumn id="4" xr3:uid="{933F6F27-0D9F-49ED-98E9-B9F387A60EB4}" name="Note" dataDxfId="82"/>
    <tableColumn id="5" xr3:uid="{C5495604-0552-4872-9600-9451D027C646}" name="Boundary 1" dataDxfId="81"/>
    <tableColumn id="6" xr3:uid="{8454C23A-9CC1-408F-9CD0-118F5E1F898A}" name="Boundary 2" dataDxfId="80"/>
    <tableColumn id="2" xr3:uid="{4C60DF08-ADC4-487E-BD10-7B9DE449F59B}" name="Custom Properties" dataDxfId="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409CF5-6344-43E7-AEDC-A16392000A13}" name="ActorToApplicationRelationships" displayName="ActorToApplicationRelationships" ref="A1:M7" totalsRowShown="0" headerRowDxfId="78" dataDxfId="77">
  <autoFilter ref="A1:M7" xr:uid="{12409CF5-6344-43E7-AEDC-A16392000A13}"/>
  <tableColumns count="13">
    <tableColumn id="1" xr3:uid="{46D1A397-EF67-4AB2-B905-F305A54537E4}" name="Actor" dataDxfId="76"/>
    <tableColumn id="4" xr3:uid="{971DA9E7-F6A6-405D-8D85-5C9B443C22DD}" name="Action" dataDxfId="75"/>
    <tableColumn id="2" xr3:uid="{3EAFCC76-B166-4AF3-8CFA-B92522C6B373}" name="Uses Application" dataDxfId="74"/>
    <tableColumn id="3" xr3:uid="{D47B0DBF-5DF3-424D-81BE-A15FD977A4EB}" name="Caption" dataDxfId="73"/>
    <tableColumn id="8" xr3:uid="{2B97331D-9CBB-4366-B6DA-712FB77B2BB3}" name="Channel" dataDxfId="72"/>
    <tableColumn id="10" xr3:uid="{7A06D5C1-18D6-46D6-888E-425F0BA716C1}" name="Custom Properties" dataDxfId="71"/>
    <tableColumn id="5" xr3:uid="{F9732F28-EB75-48A8-9B3D-168CBBDF421A}" name="Data Classification" dataDxfId="70"/>
    <tableColumn id="6" xr3:uid="{4CB88283-FEFC-4A7C-8B37-46C44E265590}" name="Contains PII" dataDxfId="69"/>
    <tableColumn id="7" xr3:uid="{D45E1E75-06E3-48E9-91AB-EC647D816528}" name="Auth Mechanism" dataDxfId="68"/>
    <tableColumn id="9" xr3:uid="{36328C82-3635-456F-A98D-0D7D86A3507A}" name="Failure Disposition" dataDxfId="67"/>
    <tableColumn id="12" xr3:uid="{FD8778B3-792F-467A-976B-F38E9334A34E}" name="Retry Strategy" dataDxfId="66"/>
    <tableColumn id="13" xr3:uid="{77C0928B-5A0D-4D48-B009-DEF57E389304}" name="Failure Alerting" dataDxfId="65"/>
    <tableColumn id="11" xr3:uid="{A3DE730C-7C52-45CE-8DBE-0DDFB48F3A8F}" name="Approximate Volume" dataDxfId="64"/>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552592-F2E0-492B-9628-2567BA5F1A6E}" name="ApplicationToApplicationRelationships" displayName="ApplicationToApplicationRelationships" ref="A1:O6" totalsRowShown="0" headerRowDxfId="63" dataDxfId="62">
  <autoFilter ref="A1:O6" xr:uid="{BC552592-F2E0-492B-9628-2567BA5F1A6E}"/>
  <tableColumns count="15">
    <tableColumn id="1" xr3:uid="{AB0FABA6-B80B-4760-9458-351EE11638DE}" name="Application Title" dataDxfId="61"/>
    <tableColumn id="2" xr3:uid="{86DCD0B8-7EB5-42B1-9D03-444EA68FE39D}" name="Uses Application" dataDxfId="60"/>
    <tableColumn id="3" xr3:uid="{BC9EACC4-17A6-4504-92A1-CF69C5E7A1B9}" name="Via" dataDxfId="59"/>
    <tableColumn id="4" xr3:uid="{E6F47877-7770-46DA-BE22-137B8CAA46E8}" name="Protocol" dataDxfId="58"/>
    <tableColumn id="5" xr3:uid="{5BEE8621-ECF3-4E4B-9593-537BDFF5752B}" name="Caption"/>
    <tableColumn id="13" xr3:uid="{6B76036B-C20E-4DCD-BEBD-7105BD16D176}" name="Custom Properties"/>
    <tableColumn id="6" xr3:uid="{0C73ADB4-5271-4F3C-A416-025B4290278C}" name="Data Classification" dataDxfId="57"/>
    <tableColumn id="7" xr3:uid="{8927B0EB-675C-4522-A4D9-09736F06628C}" name="Contains PII" dataDxfId="56"/>
    <tableColumn id="8" xr3:uid="{B8DA0C86-82E3-44E6-BE1D-0DD07825F488}" name="Auth Mechanism" dataDxfId="55"/>
    <tableColumn id="10" xr3:uid="{40356B03-6109-4D09-ACC0-A507652543F2}" name="Failure Disposition" dataDxfId="54"/>
    <tableColumn id="15" xr3:uid="{A539957D-8F9A-4047-AB8D-8AAC8147DED1}" name="Retry Strategy" dataDxfId="53"/>
    <tableColumn id="14" xr3:uid="{662F2FA8-614E-4095-9EB1-4E0A83BADE7A}" name="Failure Alerting" dataDxfId="52"/>
    <tableColumn id="9" xr3:uid="{0EDD5197-A4E4-4044-B553-9665E11922F2}" name="Approximate Volume" dataDxfId="51"/>
    <tableColumn id="11" xr3:uid="{01B5752F-80EB-4ECF-B96E-84096689CB8B}" name="Agreements in Place" dataDxfId="50"/>
    <tableColumn id="12" xr3:uid="{2827083E-FCE4-428C-BD79-F8D95256ABF4}" name="Stability" dataDxfId="4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039F60-EED7-4DFF-908C-388050911CE2}" name="ApplicationToDataStoreRelationships" displayName="ApplicationToDataStoreRelationships" ref="A1:M10" totalsRowShown="0" headerRowDxfId="48" dataDxfId="47">
  <autoFilter ref="A1:M10" xr:uid="{DD039F60-EED7-4DFF-908C-388050911CE2}"/>
  <tableColumns count="13">
    <tableColumn id="1" xr3:uid="{97E26972-5BB7-4169-B929-788E085A15E0}" name="Application Title" dataDxfId="46"/>
    <tableColumn id="2" xr3:uid="{666FB791-2017-4207-B119-5C1582C0734E}" name="Action" dataDxfId="45"/>
    <tableColumn id="3" xr3:uid="{8BE38C03-2381-40C1-89E8-EB2D49035872}" name="Data Store" dataDxfId="44"/>
    <tableColumn id="4" xr3:uid="{5E8D3D13-2F7B-4706-B078-2322058C8CE0}" name="Via" dataDxfId="43"/>
    <tableColumn id="5" xr3:uid="{E63212EF-D154-40E9-9144-A9F44845EEE5}" name="Caption"/>
    <tableColumn id="11" xr3:uid="{8519283A-9279-4679-9F10-52B982BF0585}" name="Custom Properties"/>
    <tableColumn id="6" xr3:uid="{BEE85891-0E39-45AC-9840-5A127DAA8D9A}" name="Data Classification" dataDxfId="42"/>
    <tableColumn id="7" xr3:uid="{E9443558-A517-4311-B75B-EBD2A3471349}" name="Contains PII" dataDxfId="41"/>
    <tableColumn id="8" xr3:uid="{BAF9D93F-B604-4EDC-81A2-EA472A1A90D9}" name="Auth Mechanism" dataDxfId="40"/>
    <tableColumn id="10" xr3:uid="{D18C2042-C807-4079-AA61-E4A779B3C5EA}" name="Failure Disposition" dataDxfId="39"/>
    <tableColumn id="12" xr3:uid="{A5B12681-000F-4C58-827D-B588A71D41D1}" name="Retry Strategy" dataDxfId="38"/>
    <tableColumn id="13" xr3:uid="{28BFC8D0-20AC-4959-A163-77B3E53A66B0}" name="Failure Alerting" dataDxfId="37"/>
    <tableColumn id="9" xr3:uid="{42978DFC-A288-4CE9-A14E-AAB2AA6715D6}" name="Approximate Volume" dataDxfId="3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966A1-4939-4158-9306-3FD7D106B595}" name="Application_Descriptions" displayName="Application_Descriptions" ref="A1:Q21" totalsRowShown="0" headerRowDxfId="35" dataDxfId="34">
  <autoFilter ref="A1:Q21" xr:uid="{01F966A1-4939-4158-9306-3FD7D106B595}"/>
  <tableColumns count="17">
    <tableColumn id="1" xr3:uid="{890029A7-C387-451C-AF32-299C456C1627}" name="Application Title" dataDxfId="33"/>
    <tableColumn id="2" xr3:uid="{D8C03383-E6F8-4184-8955-CF27FAB4D225}" name="APP ID" dataDxfId="32"/>
    <tableColumn id="3" xr3:uid="{240CEE69-10D2-4193-924F-1A66F0330C45}" name="Application Type" dataDxfId="31"/>
    <tableColumn id="4" xr3:uid="{05737BE2-933E-4757-97A4-CC8C0AC501D5}" name="Application Description" dataDxfId="30"/>
    <tableColumn id="8" xr3:uid="{D0C6C0F0-55DF-4D07-AABF-8D53AAC72782}" name="Business Owner" dataDxfId="29"/>
    <tableColumn id="10" xr3:uid="{A723BA24-180D-4FBB-B5FF-457AB2B51F6B}" name="Technical Owner" dataDxfId="28"/>
    <tableColumn id="11" xr3:uid="{28698CA6-43D7-4201-8BA9-2FC325720C29}" name="Vendor Product" dataDxfId="27"/>
    <tableColumn id="13" xr3:uid="{EB518181-6F64-4269-97A5-CA23C60507E5}" name="End of Support Date" dataDxfId="26"/>
    <tableColumn id="6" xr3:uid="{87F73ADF-9441-4A9B-AD4C-26F540E33C30}" name="Data Classification" dataDxfId="25"/>
    <tableColumn id="7" xr3:uid="{DC827DE9-7315-4B0E-9BA5-EFA72D5767B4}" name="Contains PII" dataDxfId="24"/>
    <tableColumn id="5" xr3:uid="{82C9DC24-6341-4CC3-B1E9-10DB6184329B}" name="Hosting Model" dataDxfId="23"/>
    <tableColumn id="14" xr3:uid="{63D3F9C1-6795-45B7-BBCE-76AB932583A4}" name="Redundancy Model" dataDxfId="22"/>
    <tableColumn id="15" xr3:uid="{3E5A57FC-CD4E-40F9-99BB-DED5A2DF39DE}" name="Criticality" dataDxfId="21"/>
    <tableColumn id="16" xr3:uid="{FE0B2AB0-51E3-44B0-9E71-0E8E4099B26E}" name="Regulatory Scope" dataDxfId="20"/>
    <tableColumn id="9" xr3:uid="{E380F7F4-33CD-4809-9788-20D6351E8F10}" name="Integrity" dataDxfId="19"/>
    <tableColumn id="17" xr3:uid="{C45A08BB-7923-4584-B1DE-EE22C49D7F0D}" name="Availability" dataDxfId="18"/>
    <tableColumn id="18" xr3:uid="{51120134-28D6-4EA3-B423-70984B4FDE1C}" name="Business Continuity" dataDxfId="17"/>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jjlong150/rv-kgf-context-diagram" TargetMode="External"/><Relationship Id="rId2" Type="http://schemas.openxmlformats.org/officeDocument/2006/relationships/hyperlink" Target="https://exceltographviz.com/" TargetMode="External"/><Relationship Id="rId1" Type="http://schemas.openxmlformats.org/officeDocument/2006/relationships/hyperlink" Target="https://github.com/jjlong150/rv-kgf-context-diagra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E181-4857-4908-8465-E2F8F85F2F82}">
  <dimension ref="A1:C2"/>
  <sheetViews>
    <sheetView workbookViewId="0">
      <selection activeCell="B2" sqref="B2"/>
    </sheetView>
  </sheetViews>
  <sheetFormatPr defaultRowHeight="15" x14ac:dyDescent="0.25"/>
  <cols>
    <col min="1" max="1" width="13.5703125" style="6" bestFit="1" customWidth="1"/>
    <col min="2" max="2" width="59.28515625" style="4" customWidth="1"/>
    <col min="3" max="3" width="81.42578125" style="4" customWidth="1"/>
    <col min="4" max="16384" width="9.140625" style="6"/>
  </cols>
  <sheetData>
    <row r="1" spans="1:3" s="3" customFormat="1" x14ac:dyDescent="0.25">
      <c r="A1" s="3" t="s">
        <v>123</v>
      </c>
      <c r="B1" s="17" t="s">
        <v>121</v>
      </c>
      <c r="C1" s="17" t="s">
        <v>45</v>
      </c>
    </row>
    <row r="2" spans="1:3" ht="135" x14ac:dyDescent="0.25">
      <c r="A2" s="6" t="s">
        <v>293</v>
      </c>
      <c r="B2" s="4" t="str">
        <f>REPT("x",300)</f>
        <v>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
      </c>
      <c r="C2" s="4" t="s">
        <v>421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447A-BF86-43B4-B6B7-B7481541A445}">
  <dimension ref="B2:C14"/>
  <sheetViews>
    <sheetView showGridLines="0" showRowColHeaders="0" tabSelected="1" workbookViewId="0">
      <selection activeCell="E34" sqref="E34"/>
    </sheetView>
  </sheetViews>
  <sheetFormatPr defaultRowHeight="15" x14ac:dyDescent="0.25"/>
  <cols>
    <col min="1" max="1" width="2.85546875" customWidth="1"/>
    <col min="2" max="2" width="26" customWidth="1"/>
    <col min="3" max="3" width="49" customWidth="1"/>
  </cols>
  <sheetData>
    <row r="2" spans="2:3" ht="30" x14ac:dyDescent="0.25">
      <c r="B2" s="41" t="s">
        <v>430</v>
      </c>
      <c r="C2" s="31" t="s">
        <v>437</v>
      </c>
    </row>
    <row r="3" spans="2:3" x14ac:dyDescent="0.25">
      <c r="B3" s="41"/>
      <c r="C3" s="31"/>
    </row>
    <row r="4" spans="2:3" x14ac:dyDescent="0.25">
      <c r="B4" s="39" t="s">
        <v>431</v>
      </c>
      <c r="C4" s="37" t="s">
        <v>432</v>
      </c>
    </row>
    <row r="5" spans="2:3" x14ac:dyDescent="0.25">
      <c r="B5" s="40"/>
    </row>
    <row r="6" spans="2:3" x14ac:dyDescent="0.25">
      <c r="B6" s="39" t="s">
        <v>433</v>
      </c>
      <c r="C6" s="38" t="s">
        <v>434</v>
      </c>
    </row>
    <row r="7" spans="2:3" x14ac:dyDescent="0.25">
      <c r="B7" s="39" t="s">
        <v>439</v>
      </c>
      <c r="C7" s="38" t="s">
        <v>438</v>
      </c>
    </row>
    <row r="8" spans="2:3" x14ac:dyDescent="0.25">
      <c r="B8" s="39" t="s">
        <v>435</v>
      </c>
      <c r="C8" s="38" t="s">
        <v>436</v>
      </c>
    </row>
    <row r="10" spans="2:3" ht="30" customHeight="1" x14ac:dyDescent="0.25">
      <c r="B10" s="52" t="s">
        <v>427</v>
      </c>
      <c r="C10" s="52"/>
    </row>
    <row r="12" spans="2:3" ht="30" customHeight="1" x14ac:dyDescent="0.25">
      <c r="B12" s="53" t="s">
        <v>428</v>
      </c>
      <c r="C12" s="53"/>
    </row>
    <row r="14" spans="2:3" x14ac:dyDescent="0.25">
      <c r="B14" t="s">
        <v>429</v>
      </c>
    </row>
  </sheetData>
  <mergeCells count="2">
    <mergeCell ref="B10:C10"/>
    <mergeCell ref="B12:C12"/>
  </mergeCells>
  <hyperlinks>
    <hyperlink ref="C6" r:id="rId1" xr:uid="{AD15CE17-915F-404A-A5AB-F024A3A4361A}"/>
    <hyperlink ref="C8" r:id="rId2" xr:uid="{DF263DA6-4D21-4A47-8133-C5E02EF97132}"/>
    <hyperlink ref="C7" r:id="rId3" display="https://github.com/jjlong150/rv-kgf-context-diagram" xr:uid="{1B5FCA4E-D432-4948-98A0-B24D67C8BDF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8482-4757-4DA1-B880-BFB7EDA1EFC0}">
  <sheetPr codeName="Sheet9"/>
  <dimension ref="A1:D9"/>
  <sheetViews>
    <sheetView workbookViewId="0">
      <selection activeCell="D14" sqref="D14"/>
    </sheetView>
  </sheetViews>
  <sheetFormatPr defaultRowHeight="15" x14ac:dyDescent="0.25"/>
  <cols>
    <col min="1" max="1" width="19.140625" style="43" bestFit="1" customWidth="1"/>
    <col min="2" max="2" width="10.42578125" style="48" bestFit="1" customWidth="1"/>
    <col min="3" max="3" width="32.7109375" style="45" customWidth="1"/>
    <col min="4" max="4" width="52.28515625" style="4" customWidth="1"/>
    <col min="5" max="16384" width="9.140625" style="6"/>
  </cols>
  <sheetData>
    <row r="1" spans="1:4" s="3" customFormat="1" x14ac:dyDescent="0.25">
      <c r="A1" s="42" t="s">
        <v>123</v>
      </c>
      <c r="B1" s="47" t="s">
        <v>120</v>
      </c>
      <c r="C1" s="44" t="s">
        <v>121</v>
      </c>
      <c r="D1" s="17" t="s">
        <v>45</v>
      </c>
    </row>
    <row r="2" spans="1:4" ht="30" x14ac:dyDescent="0.25">
      <c r="A2" s="43" t="s">
        <v>124</v>
      </c>
      <c r="B2" s="48" t="b">
        <v>1</v>
      </c>
      <c r="C2" s="45" t="s">
        <v>168</v>
      </c>
      <c r="D2" s="4" t="s">
        <v>295</v>
      </c>
    </row>
    <row r="3" spans="1:4" ht="30" x14ac:dyDescent="0.25">
      <c r="A3" s="43" t="s">
        <v>122</v>
      </c>
      <c r="B3" s="48" t="b">
        <v>1</v>
      </c>
      <c r="C3" s="45" t="s">
        <v>170</v>
      </c>
      <c r="D3" s="4" t="s">
        <v>301</v>
      </c>
    </row>
    <row r="4" spans="1:4" x14ac:dyDescent="0.25">
      <c r="A4" s="43" t="s">
        <v>151</v>
      </c>
      <c r="B4" s="48" t="b">
        <v>1</v>
      </c>
      <c r="D4" s="4" t="s">
        <v>296</v>
      </c>
    </row>
    <row r="5" spans="1:4" ht="30" x14ac:dyDescent="0.25">
      <c r="A5" s="43" t="s">
        <v>152</v>
      </c>
      <c r="B5" s="48" t="b">
        <v>1</v>
      </c>
      <c r="C5" s="45" t="s">
        <v>153</v>
      </c>
      <c r="D5" s="4" t="s">
        <v>297</v>
      </c>
    </row>
    <row r="6" spans="1:4" x14ac:dyDescent="0.25">
      <c r="A6" s="43" t="s">
        <v>169</v>
      </c>
      <c r="B6" s="48" t="b">
        <v>1</v>
      </c>
      <c r="C6" s="45" t="s">
        <v>137</v>
      </c>
      <c r="D6" s="4" t="s">
        <v>302</v>
      </c>
    </row>
    <row r="7" spans="1:4" ht="30" x14ac:dyDescent="0.25">
      <c r="A7" s="43" t="s">
        <v>164</v>
      </c>
      <c r="B7" s="48" t="b">
        <v>1</v>
      </c>
      <c r="C7" s="45" t="s">
        <v>167</v>
      </c>
      <c r="D7" s="4" t="s">
        <v>300</v>
      </c>
    </row>
    <row r="8" spans="1:4" ht="30" x14ac:dyDescent="0.25">
      <c r="A8" s="43" t="s">
        <v>165</v>
      </c>
      <c r="B8" s="48" t="b">
        <v>1</v>
      </c>
      <c r="C8" s="46" t="str" cm="1">
        <f t="array" aca="1" ref="C8" ca="1">MID(CELL("filename",A1),FIND("[",CELL("filename",A1))+1,FIND("]",CELL("filename",A1))-FIND("[",CELL("filename",A1))-1)</f>
        <v>Context Diagram Data.xlsx</v>
      </c>
      <c r="D8" s="4" t="s">
        <v>298</v>
      </c>
    </row>
    <row r="9" spans="1:4" ht="30" x14ac:dyDescent="0.25">
      <c r="A9" s="43" t="s">
        <v>166</v>
      </c>
      <c r="B9" s="48" t="b">
        <v>1</v>
      </c>
      <c r="C9" s="46" t="str">
        <f ca="1">TEXT(TODAY(),"mmmm d, yyyy")</f>
        <v>September 28, 2026</v>
      </c>
      <c r="D9" s="4" t="s">
        <v>299</v>
      </c>
    </row>
  </sheetData>
  <phoneticPr fontId="7" type="noConversion"/>
  <conditionalFormatting sqref="B1:B1048568">
    <cfRule type="containsText" dxfId="16" priority="1" operator="containsText" text="FALSE">
      <formula>NOT(ISERROR(SEARCH("FALSE",B1)))</formula>
    </cfRule>
    <cfRule type="containsText" dxfId="15" priority="2" operator="containsText" text="TRUE">
      <formula>NOT(ISERROR(SEARCH("TRUE",B1)))</formula>
    </cfRule>
  </conditionalFormatting>
  <dataValidations count="2">
    <dataValidation type="list" allowBlank="1" showInputMessage="1" showErrorMessage="1" sqref="C3" xr:uid="{1AA63B92-04D0-4104-AA04-7A2DA15FE4DA}">
      <formula1>"min,max,source,sink"</formula1>
    </dataValidation>
    <dataValidation type="list" allowBlank="1" showInputMessage="1" showErrorMessage="1" sqref="B2:B1048576" xr:uid="{241AFDE5-79B7-4764-8279-5E1ADDCDB39F}">
      <formula1>"TRUE,FALSE"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3E36-9761-4FB7-A68C-9A0090158D38}">
  <sheetPr codeName="Sheet1">
    <tabColor theme="4"/>
  </sheetPr>
  <dimension ref="A1:J5"/>
  <sheetViews>
    <sheetView workbookViewId="0">
      <selection activeCell="C24" sqref="C24"/>
    </sheetView>
  </sheetViews>
  <sheetFormatPr defaultRowHeight="15" x14ac:dyDescent="0.25"/>
  <cols>
    <col min="1" max="1" width="22.140625" style="6" customWidth="1"/>
    <col min="2" max="2" width="12.7109375" style="25" bestFit="1" customWidth="1"/>
    <col min="3" max="4" width="28.5703125" style="6" customWidth="1"/>
    <col min="5" max="5" width="50.7109375" style="4" customWidth="1"/>
    <col min="6" max="6" width="18.7109375" style="4" bestFit="1" customWidth="1"/>
    <col min="7" max="7" width="8.7109375" style="25" bestFit="1" customWidth="1"/>
    <col min="8" max="8" width="18.140625" style="25" bestFit="1" customWidth="1"/>
    <col min="9" max="10" width="16" style="25" bestFit="1" customWidth="1"/>
    <col min="11" max="16384" width="9.140625" style="6"/>
  </cols>
  <sheetData>
    <row r="1" spans="1:10" s="3" customFormat="1" x14ac:dyDescent="0.25">
      <c r="A1" s="3" t="s">
        <v>15</v>
      </c>
      <c r="B1" s="29" t="s">
        <v>16</v>
      </c>
      <c r="C1" s="3" t="s">
        <v>189</v>
      </c>
      <c r="D1" s="3" t="s">
        <v>190</v>
      </c>
      <c r="E1" s="17" t="s">
        <v>45</v>
      </c>
      <c r="F1" s="17" t="s">
        <v>308</v>
      </c>
      <c r="G1" s="29" t="s">
        <v>175</v>
      </c>
      <c r="H1" s="29" t="s">
        <v>177</v>
      </c>
      <c r="I1" s="29" t="s">
        <v>255</v>
      </c>
      <c r="J1" s="29" t="s">
        <v>256</v>
      </c>
    </row>
    <row r="2" spans="1:10" x14ac:dyDescent="0.25">
      <c r="A2" s="6" t="s">
        <v>76</v>
      </c>
      <c r="B2" s="25" t="s">
        <v>101</v>
      </c>
      <c r="C2" s="6" t="s">
        <v>77</v>
      </c>
      <c r="D2" s="6" t="s">
        <v>112</v>
      </c>
      <c r="E2" s="4" t="s">
        <v>135</v>
      </c>
      <c r="G2" s="25" t="s">
        <v>176</v>
      </c>
      <c r="H2" s="25" t="s">
        <v>396</v>
      </c>
    </row>
    <row r="3" spans="1:10" ht="30" x14ac:dyDescent="0.25">
      <c r="A3" s="6" t="s">
        <v>125</v>
      </c>
      <c r="B3" s="25" t="s">
        <v>26</v>
      </c>
      <c r="C3" s="6" t="s">
        <v>80</v>
      </c>
      <c r="D3" s="6" t="s">
        <v>110</v>
      </c>
      <c r="E3" s="4" t="s">
        <v>446</v>
      </c>
      <c r="G3" s="25" t="s">
        <v>210</v>
      </c>
      <c r="I3" s="25" t="s">
        <v>222</v>
      </c>
      <c r="J3" s="25" t="s">
        <v>228</v>
      </c>
    </row>
    <row r="4" spans="1:10" ht="45" x14ac:dyDescent="0.25">
      <c r="A4" s="6" t="s">
        <v>424</v>
      </c>
      <c r="B4" s="25" t="s">
        <v>101</v>
      </c>
      <c r="C4" s="6" t="s">
        <v>80</v>
      </c>
      <c r="D4" s="6" t="s">
        <v>422</v>
      </c>
      <c r="E4" s="4" t="s">
        <v>447</v>
      </c>
      <c r="G4" s="25" t="s">
        <v>210</v>
      </c>
      <c r="H4" s="25" t="s">
        <v>257</v>
      </c>
      <c r="I4" s="25" t="s">
        <v>225</v>
      </c>
      <c r="J4" s="25" t="s">
        <v>228</v>
      </c>
    </row>
    <row r="5" spans="1:10" ht="30" x14ac:dyDescent="0.25">
      <c r="A5" s="6" t="s">
        <v>455</v>
      </c>
      <c r="B5" s="25" t="s">
        <v>101</v>
      </c>
      <c r="C5" s="6" t="s">
        <v>80</v>
      </c>
      <c r="D5" s="6" t="s">
        <v>453</v>
      </c>
      <c r="E5" s="4" t="s">
        <v>456</v>
      </c>
      <c r="G5" s="25" t="s">
        <v>210</v>
      </c>
      <c r="H5" s="25" t="s">
        <v>392</v>
      </c>
    </row>
  </sheetData>
  <conditionalFormatting sqref="E1:F1048576">
    <cfRule type="expression" dxfId="14" priority="1">
      <formula>LEN(E1)&gt;255</formula>
    </cfRule>
  </conditionalFormatting>
  <dataValidations count="5">
    <dataValidation type="list" allowBlank="1" showInputMessage="1" showErrorMessage="1" sqref="B2:B1048576" xr:uid="{380EF90B-6580-47E5-A1D0-CE945D4598A8}">
      <formula1>ActorTypes</formula1>
    </dataValidation>
    <dataValidation type="list" allowBlank="1" showInputMessage="1" showErrorMessage="1" sqref="G2:G1048576" xr:uid="{0D1D302A-2449-4112-8414-064D5F9FB326}">
      <formula1>Origin</formula1>
    </dataValidation>
    <dataValidation type="list" allowBlank="1" showInputMessage="1" showErrorMessage="1" sqref="H2:H1048576" xr:uid="{491AC555-920F-4E40-B886-63CA33D8467C}">
      <formula1>PopulationScale</formula1>
    </dataValidation>
    <dataValidation type="list" allowBlank="1" showInputMessage="1" showErrorMessage="1" sqref="I2:I1048576" xr:uid="{F3464DAB-A431-47F7-8330-2211DBE014A5}">
      <formula1>TriggerSource</formula1>
    </dataValidation>
    <dataValidation type="list" allowBlank="1" showInputMessage="1" showErrorMessage="1" sqref="J2:J1048576" xr:uid="{5A76A90B-A053-4645-B041-B144EF1FB976}">
      <formula1>FailureImpact</formula1>
    </dataValidation>
  </dataValidations>
  <pageMargins left="0.7" right="0.7" top="0.75" bottom="0.75" header="0.3" footer="0.3"/>
  <pageSetup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2FAB-F933-4C77-ACB8-2C6A3A3520CD}">
  <sheetPr codeName="Sheet2">
    <tabColor theme="4"/>
  </sheetPr>
  <dimension ref="A1:F7"/>
  <sheetViews>
    <sheetView workbookViewId="0">
      <selection activeCell="D25" sqref="D25"/>
    </sheetView>
  </sheetViews>
  <sheetFormatPr defaultRowHeight="15" x14ac:dyDescent="0.25"/>
  <cols>
    <col min="1" max="1" width="28.5703125" style="23" customWidth="1"/>
    <col min="2" max="2" width="12.7109375" style="2" bestFit="1" customWidth="1"/>
    <col min="3" max="4" width="30" customWidth="1"/>
    <col min="5" max="5" width="32.140625" bestFit="1" customWidth="1"/>
    <col min="6" max="6" width="24.140625" bestFit="1" customWidth="1"/>
  </cols>
  <sheetData>
    <row r="1" spans="1:6" s="1" customFormat="1" x14ac:dyDescent="0.25">
      <c r="A1" s="26" t="s">
        <v>8</v>
      </c>
      <c r="B1" s="1" t="s">
        <v>100</v>
      </c>
      <c r="C1" s="1" t="s">
        <v>189</v>
      </c>
      <c r="D1" s="1" t="s">
        <v>190</v>
      </c>
      <c r="E1" s="1" t="s">
        <v>184</v>
      </c>
      <c r="F1" s="1" t="s">
        <v>308</v>
      </c>
    </row>
    <row r="2" spans="1:6" x14ac:dyDescent="0.25">
      <c r="A2" s="23" t="s">
        <v>137</v>
      </c>
      <c r="B2" s="2" t="b">
        <v>1</v>
      </c>
      <c r="C2" t="s">
        <v>80</v>
      </c>
      <c r="D2" t="s">
        <v>110</v>
      </c>
    </row>
    <row r="3" spans="1:6" x14ac:dyDescent="0.25">
      <c r="A3" s="23" t="s">
        <v>78</v>
      </c>
      <c r="C3" t="s">
        <v>80</v>
      </c>
      <c r="D3" t="s">
        <v>113</v>
      </c>
    </row>
    <row r="4" spans="1:6" x14ac:dyDescent="0.25">
      <c r="A4" s="23" t="s">
        <v>145</v>
      </c>
      <c r="C4" t="s">
        <v>77</v>
      </c>
      <c r="D4" t="s">
        <v>112</v>
      </c>
      <c r="E4" t="s">
        <v>283</v>
      </c>
      <c r="F4" t="s">
        <v>292</v>
      </c>
    </row>
    <row r="5" spans="1:6" x14ac:dyDescent="0.25">
      <c r="A5" s="23" t="s">
        <v>38</v>
      </c>
      <c r="C5" t="s">
        <v>80</v>
      </c>
      <c r="D5" t="s">
        <v>86</v>
      </c>
    </row>
    <row r="6" spans="1:6" x14ac:dyDescent="0.25">
      <c r="A6" s="23" t="s">
        <v>73</v>
      </c>
      <c r="C6" t="s">
        <v>77</v>
      </c>
      <c r="D6" t="s">
        <v>107</v>
      </c>
    </row>
    <row r="7" spans="1:6" x14ac:dyDescent="0.25">
      <c r="A7" s="23" t="s">
        <v>105</v>
      </c>
      <c r="C7" t="s">
        <v>77</v>
      </c>
      <c r="D7" t="s">
        <v>108</v>
      </c>
      <c r="F7" s="31"/>
    </row>
  </sheetData>
  <sortState xmlns:xlrd2="http://schemas.microsoft.com/office/spreadsheetml/2017/richdata2" ref="A2:D1048535">
    <sortCondition ref="C2:C1048535"/>
    <sortCondition ref="D2:D1048535"/>
    <sortCondition ref="A2:A1048535"/>
  </sortState>
  <conditionalFormatting sqref="A1:A1048576">
    <cfRule type="duplicateValues" dxfId="13" priority="3"/>
  </conditionalFormatting>
  <conditionalFormatting sqref="E1:F1048562 F1048563:F1048576">
    <cfRule type="expression" dxfId="12" priority="2">
      <formula>LEN(E1)&gt;255</formula>
    </cfRule>
  </conditionalFormatting>
  <conditionalFormatting sqref="E1:F1048562">
    <cfRule type="expression" dxfId="11" priority="1">
      <formula>LEN(E1)&gt;255</formula>
    </cfRule>
  </conditionalFormatting>
  <dataValidations count="2">
    <dataValidation type="list" allowBlank="1" showInputMessage="1" showErrorMessage="1" sqref="B2:B1048576" xr:uid="{51BCF82E-8D3F-4C1B-A240-C9371CD1550F}">
      <formula1>"TRUE"</formula1>
    </dataValidation>
    <dataValidation type="list" allowBlank="1" showInputMessage="1" showErrorMessage="1" sqref="A2:A1048576" xr:uid="{CBD33F13-FFBD-4CFB-8725-65CC10AA4A01}">
      <formula1>SortedAppList</formula1>
    </dataValidation>
  </dataValidations>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BA84-666D-4419-8CC6-9D638F5B55F2}">
  <sheetPr codeName="Sheet3">
    <tabColor theme="4"/>
  </sheetPr>
  <dimension ref="A1:Q7"/>
  <sheetViews>
    <sheetView workbookViewId="0">
      <selection activeCell="C16" sqref="C16"/>
    </sheetView>
  </sheetViews>
  <sheetFormatPr defaultRowHeight="15" x14ac:dyDescent="0.25"/>
  <cols>
    <col min="1" max="1" width="28.5703125" style="6" customWidth="1"/>
    <col min="2" max="2" width="17.28515625" style="25" bestFit="1" customWidth="1"/>
    <col min="3" max="3" width="21.7109375" style="6" bestFit="1" customWidth="1"/>
    <col min="4" max="4" width="21.5703125" style="6" bestFit="1" customWidth="1"/>
    <col min="5" max="5" width="60.42578125" style="4" customWidth="1"/>
    <col min="6" max="6" width="22.5703125" style="6" bestFit="1" customWidth="1"/>
    <col min="7" max="7" width="19" style="6" customWidth="1"/>
    <col min="8" max="8" width="22" style="25" bestFit="1" customWidth="1"/>
    <col min="9" max="9" width="16.85546875" style="25" bestFit="1" customWidth="1"/>
    <col min="10" max="10" width="19.7109375" style="25" bestFit="1" customWidth="1"/>
    <col min="11" max="11" width="13.7109375" style="25" bestFit="1" customWidth="1"/>
    <col min="12" max="12" width="18.5703125" style="25" bestFit="1" customWidth="1"/>
    <col min="13" max="13" width="22.28515625" style="25" bestFit="1" customWidth="1"/>
    <col min="14" max="14" width="15.85546875" style="25" bestFit="1" customWidth="1"/>
    <col min="15" max="15" width="17.140625" style="25" bestFit="1" customWidth="1"/>
    <col min="16" max="16" width="19.28515625" style="25" bestFit="1" customWidth="1"/>
    <col min="17" max="17" width="17.42578125" style="25" bestFit="1" customWidth="1"/>
    <col min="18" max="18" width="9.140625" style="6"/>
    <col min="19" max="19" width="17" style="6" bestFit="1" customWidth="1"/>
    <col min="20" max="20" width="17.42578125" style="6" bestFit="1" customWidth="1"/>
    <col min="21" max="16384" width="9.140625" style="6"/>
  </cols>
  <sheetData>
    <row r="1" spans="1:17" s="3" customFormat="1" x14ac:dyDescent="0.25">
      <c r="A1" s="3" t="s">
        <v>17</v>
      </c>
      <c r="B1" s="29" t="s">
        <v>18</v>
      </c>
      <c r="C1" s="3" t="s">
        <v>189</v>
      </c>
      <c r="D1" s="3" t="s">
        <v>190</v>
      </c>
      <c r="E1" s="17" t="s">
        <v>45</v>
      </c>
      <c r="F1" s="17" t="s">
        <v>180</v>
      </c>
      <c r="G1" s="17" t="s">
        <v>308</v>
      </c>
      <c r="H1" s="29" t="s">
        <v>194</v>
      </c>
      <c r="I1" s="29" t="s">
        <v>405</v>
      </c>
      <c r="J1" s="29" t="s">
        <v>171</v>
      </c>
      <c r="K1" s="29" t="s">
        <v>172</v>
      </c>
      <c r="L1" s="29" t="s">
        <v>178</v>
      </c>
      <c r="M1" s="29" t="s">
        <v>413</v>
      </c>
      <c r="N1" s="29" t="s">
        <v>414</v>
      </c>
      <c r="O1" s="29" t="s">
        <v>415</v>
      </c>
      <c r="P1" s="29" t="s">
        <v>179</v>
      </c>
      <c r="Q1" s="29" t="s">
        <v>181</v>
      </c>
    </row>
    <row r="2" spans="1:17" ht="45" x14ac:dyDescent="0.25">
      <c r="A2" s="6" t="s">
        <v>102</v>
      </c>
      <c r="B2" s="25" t="s">
        <v>24</v>
      </c>
      <c r="C2" s="6" t="s">
        <v>80</v>
      </c>
      <c r="D2" s="6" t="s">
        <v>110</v>
      </c>
      <c r="E2" s="4" t="s">
        <v>445</v>
      </c>
      <c r="F2" s="6" t="s">
        <v>269</v>
      </c>
      <c r="H2" s="25" t="s">
        <v>202</v>
      </c>
      <c r="I2" s="25" t="s">
        <v>385</v>
      </c>
      <c r="J2" s="25" t="s">
        <v>210</v>
      </c>
      <c r="K2" s="25" t="s">
        <v>192</v>
      </c>
      <c r="L2" s="25" t="s">
        <v>266</v>
      </c>
      <c r="M2" s="25" t="s">
        <v>383</v>
      </c>
      <c r="N2" s="25" t="s">
        <v>407</v>
      </c>
      <c r="O2" s="25" t="s">
        <v>418</v>
      </c>
      <c r="P2" s="25" t="s">
        <v>193</v>
      </c>
      <c r="Q2" s="25" t="s">
        <v>381</v>
      </c>
    </row>
    <row r="3" spans="1:17" ht="45" x14ac:dyDescent="0.25">
      <c r="A3" s="6" t="s">
        <v>383</v>
      </c>
      <c r="B3" s="25" t="s">
        <v>24</v>
      </c>
      <c r="C3" s="6" t="s">
        <v>80</v>
      </c>
      <c r="D3" s="6" t="s">
        <v>110</v>
      </c>
      <c r="E3" s="4" t="s">
        <v>442</v>
      </c>
      <c r="F3" s="6" t="s">
        <v>269</v>
      </c>
      <c r="H3" s="25" t="s">
        <v>202</v>
      </c>
      <c r="I3" s="25" t="s">
        <v>385</v>
      </c>
      <c r="J3" s="25" t="s">
        <v>210</v>
      </c>
      <c r="K3" s="25" t="s">
        <v>192</v>
      </c>
      <c r="L3" s="25" t="s">
        <v>263</v>
      </c>
      <c r="M3" s="25" t="s">
        <v>270</v>
      </c>
      <c r="O3" s="25" t="s">
        <v>418</v>
      </c>
      <c r="P3" s="25" t="s">
        <v>193</v>
      </c>
      <c r="Q3" s="25" t="s">
        <v>381</v>
      </c>
    </row>
    <row r="4" spans="1:17" ht="45" x14ac:dyDescent="0.25">
      <c r="A4" s="6" t="s">
        <v>440</v>
      </c>
      <c r="B4" s="25" t="s">
        <v>19</v>
      </c>
      <c r="C4" s="6" t="s">
        <v>80</v>
      </c>
      <c r="D4" s="6" t="s">
        <v>110</v>
      </c>
      <c r="E4" s="4" t="s">
        <v>443</v>
      </c>
      <c r="F4" s="6" t="s">
        <v>422</v>
      </c>
      <c r="H4" s="25" t="s">
        <v>206</v>
      </c>
      <c r="I4" s="25" t="s">
        <v>385</v>
      </c>
      <c r="J4" s="25" t="s">
        <v>210</v>
      </c>
      <c r="K4" s="25" t="s">
        <v>193</v>
      </c>
      <c r="L4" s="25" t="s">
        <v>263</v>
      </c>
      <c r="M4" s="25" t="s">
        <v>270</v>
      </c>
      <c r="N4" s="25" t="s">
        <v>227</v>
      </c>
      <c r="O4" s="25" t="s">
        <v>417</v>
      </c>
      <c r="P4" s="25" t="s">
        <v>193</v>
      </c>
      <c r="Q4" s="25" t="s">
        <v>381</v>
      </c>
    </row>
    <row r="5" spans="1:17" ht="30" x14ac:dyDescent="0.25">
      <c r="A5" s="6" t="s">
        <v>441</v>
      </c>
      <c r="B5" s="25" t="s">
        <v>20</v>
      </c>
      <c r="C5" s="6" t="s">
        <v>80</v>
      </c>
      <c r="D5" s="6" t="s">
        <v>110</v>
      </c>
      <c r="E5" s="4" t="s">
        <v>444</v>
      </c>
      <c r="F5" s="6" t="s">
        <v>269</v>
      </c>
      <c r="H5" s="25" t="s">
        <v>202</v>
      </c>
      <c r="I5" s="25" t="s">
        <v>385</v>
      </c>
      <c r="J5" s="25" t="s">
        <v>210</v>
      </c>
      <c r="K5" s="25" t="s">
        <v>193</v>
      </c>
      <c r="L5" s="25" t="s">
        <v>267</v>
      </c>
      <c r="M5" s="25" t="s">
        <v>412</v>
      </c>
      <c r="N5" s="25" t="s">
        <v>227</v>
      </c>
      <c r="O5" s="25" t="s">
        <v>227</v>
      </c>
      <c r="P5" s="25" t="s">
        <v>193</v>
      </c>
      <c r="Q5" s="25" t="s">
        <v>382</v>
      </c>
    </row>
    <row r="6" spans="1:17" ht="30" x14ac:dyDescent="0.25">
      <c r="A6" s="6" t="s">
        <v>465</v>
      </c>
      <c r="B6" s="25" t="s">
        <v>20</v>
      </c>
      <c r="C6" s="6" t="s">
        <v>80</v>
      </c>
      <c r="D6" s="6" t="s">
        <v>110</v>
      </c>
      <c r="E6" s="4" t="s">
        <v>466</v>
      </c>
      <c r="F6" s="6" t="s">
        <v>422</v>
      </c>
      <c r="H6" s="25" t="s">
        <v>202</v>
      </c>
      <c r="I6" s="25" t="s">
        <v>385</v>
      </c>
      <c r="J6" s="25" t="s">
        <v>210</v>
      </c>
      <c r="K6" s="25" t="s">
        <v>193</v>
      </c>
      <c r="L6" s="25" t="s">
        <v>267</v>
      </c>
      <c r="M6" s="25" t="s">
        <v>270</v>
      </c>
      <c r="N6" s="25" t="s">
        <v>227</v>
      </c>
      <c r="O6" s="25" t="s">
        <v>417</v>
      </c>
      <c r="P6" s="25" t="s">
        <v>193</v>
      </c>
      <c r="Q6" s="25" t="s">
        <v>382</v>
      </c>
    </row>
    <row r="7" spans="1:17" x14ac:dyDescent="0.25">
      <c r="A7" s="6" t="s">
        <v>452</v>
      </c>
      <c r="B7" s="25" t="s">
        <v>19</v>
      </c>
      <c r="C7" s="6" t="s">
        <v>80</v>
      </c>
      <c r="D7" s="6" t="s">
        <v>453</v>
      </c>
      <c r="E7" s="4" t="s">
        <v>454</v>
      </c>
      <c r="F7" s="6" t="s">
        <v>269</v>
      </c>
      <c r="H7" s="25" t="s">
        <v>205</v>
      </c>
      <c r="I7" s="25" t="s">
        <v>385</v>
      </c>
      <c r="J7" s="25" t="s">
        <v>210</v>
      </c>
      <c r="K7" s="25" t="s">
        <v>192</v>
      </c>
      <c r="L7" s="25" t="s">
        <v>263</v>
      </c>
      <c r="M7" s="25" t="s">
        <v>411</v>
      </c>
      <c r="N7" s="25" t="s">
        <v>227</v>
      </c>
      <c r="O7" s="25" t="s">
        <v>417</v>
      </c>
      <c r="P7" s="25" t="s">
        <v>193</v>
      </c>
      <c r="Q7" s="25" t="s">
        <v>227</v>
      </c>
    </row>
  </sheetData>
  <sortState xmlns:xlrd2="http://schemas.microsoft.com/office/spreadsheetml/2017/richdata2" ref="A2:B2">
    <sortCondition ref="A2"/>
  </sortState>
  <dataConsolidate/>
  <phoneticPr fontId="7" type="noConversion"/>
  <conditionalFormatting sqref="E1:G1048576">
    <cfRule type="expression" dxfId="10" priority="1">
      <formula>LEN(E1)&gt;255</formula>
    </cfRule>
  </conditionalFormatting>
  <dataValidations count="11">
    <dataValidation type="list" allowBlank="1" showInputMessage="1" showErrorMessage="1" sqref="Q8:Q1048576 Q2:Q7" xr:uid="{A3329F43-28DE-4B0B-BBDB-07361E488350}">
      <formula1>BackupStrategy</formula1>
    </dataValidation>
    <dataValidation type="list" allowBlank="1" showInputMessage="1" showErrorMessage="1" sqref="J8:J1048576 J2:J7" xr:uid="{8DDD00F4-7D83-41AC-A8FE-2697B39E8673}">
      <formula1>DataClassification</formula1>
    </dataValidation>
    <dataValidation type="list" allowBlank="1" showInputMessage="1" showErrorMessage="1" sqref="K8:K1048576 K2:K7" xr:uid="{B821661C-F4D5-4D54-A76E-2F6BA3A39786}">
      <formula1>ContainsPII</formula1>
    </dataValidation>
    <dataValidation type="list" allowBlank="1" showInputMessage="1" showErrorMessage="1" sqref="B8:B1048576 B2:B7" xr:uid="{43013384-A7B0-4BA3-97DF-FCF64F13DF67}">
      <formula1>DataStoreTypes</formula1>
    </dataValidation>
    <dataValidation type="list" allowBlank="1" showInputMessage="1" showErrorMessage="1" sqref="L8:L1048576 L2:L7" xr:uid="{C3AD9A28-3ED3-4DD5-99BD-F3C42E3104D9}">
      <formula1>RetentionPeriod</formula1>
    </dataValidation>
    <dataValidation type="list" allowBlank="1" showInputMessage="1" showErrorMessage="1" sqref="P8:P1048576 P2:P7" xr:uid="{C2AA2211-752D-4783-9DD4-B603E6042A48}">
      <formula1>EncryptionAtRest</formula1>
    </dataValidation>
    <dataValidation type="list" allowBlank="1" showInputMessage="1" showErrorMessage="1" sqref="I8:I1048576 I2:I7" xr:uid="{7CA7B047-C85C-43D7-9E4D-BD6CFCD37780}">
      <formula1>DataResidency</formula1>
    </dataValidation>
    <dataValidation type="list" allowBlank="1" showInputMessage="1" showErrorMessage="1" sqref="M8:M1048576 M2:M7" xr:uid="{F98A02F6-E043-40C1-BEBF-B514E56E48F5}">
      <formula1>FailureDisposition</formula1>
    </dataValidation>
    <dataValidation type="list" allowBlank="1" showInputMessage="1" showErrorMessage="1" sqref="N8:N1048576 N2:N7" xr:uid="{9EA12A90-EF92-441F-AE17-32072C737DFE}">
      <formula1>RetryStrategy</formula1>
    </dataValidation>
    <dataValidation type="list" allowBlank="1" showInputMessage="1" showErrorMessage="1" sqref="O8:O1048576 O2:O7" xr:uid="{092D78F2-4E0B-4274-8DF9-28826C01FA1E}">
      <formula1>FailureAlerting</formula1>
    </dataValidation>
    <dataValidation type="list" allowBlank="1" showInputMessage="1" showErrorMessage="1" sqref="H2:H1048576" xr:uid="{3C9BFF55-9DD0-4F2F-B9E9-34DD64559B21}">
      <formula1>INDIRECT("DeploymentModel"&amp;$B2)</formula1>
    </dataValidation>
  </dataValidations>
  <pageMargins left="0.7" right="0.7" top="0.75" bottom="0.75" header="0.3" footer="0.3"/>
  <pageSetup orientation="portrait" horizontalDpi="90"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C125-62DD-49EF-B0AA-4ECFAF874502}">
  <sheetPr codeName="Sheet10">
    <tabColor theme="4"/>
  </sheetPr>
  <dimension ref="A1:E10"/>
  <sheetViews>
    <sheetView workbookViewId="0">
      <selection activeCell="B7" sqref="B7"/>
    </sheetView>
  </sheetViews>
  <sheetFormatPr defaultRowHeight="15" x14ac:dyDescent="0.25"/>
  <cols>
    <col min="1" max="1" width="5.140625" style="4" bestFit="1" customWidth="1"/>
    <col min="2" max="2" width="66.5703125" style="4" customWidth="1"/>
    <col min="3" max="4" width="28.5703125" style="6" customWidth="1"/>
    <col min="5" max="5" width="23.42578125" style="6" customWidth="1"/>
    <col min="6" max="16384" width="9.140625" style="6"/>
  </cols>
  <sheetData>
    <row r="1" spans="1:5" s="3" customFormat="1" x14ac:dyDescent="0.25">
      <c r="A1" s="17" t="s">
        <v>149</v>
      </c>
      <c r="B1" s="17" t="s">
        <v>150</v>
      </c>
      <c r="C1" s="3" t="s">
        <v>189</v>
      </c>
      <c r="D1" s="3" t="s">
        <v>190</v>
      </c>
      <c r="E1" s="3" t="s">
        <v>308</v>
      </c>
    </row>
    <row r="2" spans="1:5" ht="30" x14ac:dyDescent="0.25">
      <c r="A2" s="4">
        <v>1</v>
      </c>
      <c r="B2" s="4" t="s">
        <v>147</v>
      </c>
      <c r="C2" s="19" t="s">
        <v>80</v>
      </c>
      <c r="D2" s="20" t="s">
        <v>110</v>
      </c>
    </row>
    <row r="3" spans="1:5" ht="30" x14ac:dyDescent="0.25">
      <c r="A3" s="4">
        <v>2</v>
      </c>
      <c r="B3" s="4" t="s">
        <v>460</v>
      </c>
      <c r="C3" s="19" t="s">
        <v>80</v>
      </c>
      <c r="D3" s="20" t="s">
        <v>110</v>
      </c>
    </row>
    <row r="4" spans="1:5" ht="30" x14ac:dyDescent="0.25">
      <c r="A4" s="4">
        <v>3</v>
      </c>
      <c r="B4" s="4" t="s">
        <v>139</v>
      </c>
      <c r="C4" s="19" t="s">
        <v>80</v>
      </c>
      <c r="D4" s="20" t="s">
        <v>113</v>
      </c>
    </row>
    <row r="5" spans="1:5" ht="30" x14ac:dyDescent="0.25">
      <c r="A5" s="4">
        <v>4</v>
      </c>
      <c r="B5" s="4" t="s">
        <v>461</v>
      </c>
      <c r="C5" s="19" t="s">
        <v>80</v>
      </c>
      <c r="D5" s="20" t="s">
        <v>422</v>
      </c>
    </row>
    <row r="6" spans="1:5" ht="30" x14ac:dyDescent="0.25">
      <c r="A6" s="4">
        <v>5</v>
      </c>
      <c r="B6" s="4" t="s">
        <v>464</v>
      </c>
      <c r="C6" s="19" t="s">
        <v>80</v>
      </c>
      <c r="D6" s="20" t="s">
        <v>453</v>
      </c>
    </row>
    <row r="7" spans="1:5" ht="30" x14ac:dyDescent="0.25">
      <c r="A7" s="4">
        <v>6</v>
      </c>
      <c r="B7" s="4" t="s">
        <v>148</v>
      </c>
      <c r="C7" s="19" t="s">
        <v>77</v>
      </c>
      <c r="D7" s="20" t="s">
        <v>108</v>
      </c>
    </row>
    <row r="8" spans="1:5" ht="30" x14ac:dyDescent="0.25">
      <c r="A8" s="4">
        <v>7</v>
      </c>
      <c r="B8" s="4" t="s">
        <v>462</v>
      </c>
    </row>
    <row r="9" spans="1:5" ht="30" x14ac:dyDescent="0.25">
      <c r="A9" s="4">
        <v>8</v>
      </c>
      <c r="B9" s="4" t="s">
        <v>459</v>
      </c>
    </row>
    <row r="10" spans="1:5" x14ac:dyDescent="0.25">
      <c r="A10" s="4">
        <v>9</v>
      </c>
      <c r="B10" s="4" t="s">
        <v>463</v>
      </c>
    </row>
  </sheetData>
  <conditionalFormatting sqref="A1:A1048576">
    <cfRule type="duplicateValues" dxfId="9" priority="3"/>
  </conditionalFormatting>
  <conditionalFormatting sqref="B1:B1048576">
    <cfRule type="expression" dxfId="8" priority="2">
      <formula>LEN(B1)&gt;200</formula>
    </cfRule>
  </conditionalFormatting>
  <conditionalFormatting sqref="E1:E1048576">
    <cfRule type="expression" dxfId="7" priority="1">
      <formula>LEN(E1)&gt;255</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5628-42B3-4CD5-98CA-610697B3DA20}">
  <sheetPr codeName="Sheet4">
    <tabColor theme="9"/>
  </sheetPr>
  <dimension ref="A1:N7"/>
  <sheetViews>
    <sheetView workbookViewId="0">
      <selection activeCell="E13" sqref="E13"/>
    </sheetView>
  </sheetViews>
  <sheetFormatPr defaultRowHeight="15" x14ac:dyDescent="0.25"/>
  <cols>
    <col min="1" max="1" width="20.42578125" style="25" bestFit="1" customWidth="1"/>
    <col min="2" max="2" width="13.5703125" style="25" bestFit="1" customWidth="1"/>
    <col min="3" max="3" width="28.5703125" style="25" customWidth="1"/>
    <col min="4" max="4" width="39.5703125" style="4" customWidth="1"/>
    <col min="5" max="5" width="16.140625" style="16" bestFit="1" customWidth="1"/>
    <col min="6" max="6" width="20" style="6" bestFit="1" customWidth="1"/>
    <col min="7" max="7" width="22.7109375" style="6" customWidth="1"/>
    <col min="8" max="8" width="19.7109375" style="25" bestFit="1" customWidth="1"/>
    <col min="9" max="9" width="18.42578125" style="25" bestFit="1" customWidth="1"/>
    <col min="10" max="10" width="20.140625" style="25" bestFit="1" customWidth="1"/>
    <col min="11" max="11" width="18.85546875" style="25" bestFit="1" customWidth="1"/>
    <col min="12" max="12" width="18.85546875" style="25" customWidth="1"/>
    <col min="13" max="14" width="22.5703125" style="25" bestFit="1" customWidth="1"/>
    <col min="15" max="16384" width="9.140625" style="6"/>
  </cols>
  <sheetData>
    <row r="1" spans="1:13" s="3" customFormat="1" x14ac:dyDescent="0.25">
      <c r="A1" s="49" t="s">
        <v>15</v>
      </c>
      <c r="B1" s="29" t="s">
        <v>41</v>
      </c>
      <c r="C1" s="49" t="s">
        <v>9</v>
      </c>
      <c r="D1" s="50" t="s">
        <v>14</v>
      </c>
      <c r="E1" s="50" t="s">
        <v>174</v>
      </c>
      <c r="F1" s="51" t="s">
        <v>308</v>
      </c>
      <c r="G1" s="29" t="s">
        <v>171</v>
      </c>
      <c r="H1" s="29" t="s">
        <v>172</v>
      </c>
      <c r="I1" s="29" t="s">
        <v>173</v>
      </c>
      <c r="J1" s="29" t="s">
        <v>413</v>
      </c>
      <c r="K1" s="29" t="s">
        <v>414</v>
      </c>
      <c r="L1" s="29" t="s">
        <v>415</v>
      </c>
      <c r="M1" s="29" t="s">
        <v>191</v>
      </c>
    </row>
    <row r="2" spans="1:13" x14ac:dyDescent="0.25">
      <c r="A2" s="25" t="s">
        <v>76</v>
      </c>
      <c r="B2" s="25" t="s">
        <v>47</v>
      </c>
      <c r="C2" s="25" t="s">
        <v>145</v>
      </c>
      <c r="D2" s="4" t="s">
        <v>99</v>
      </c>
      <c r="E2" s="16" t="s">
        <v>272</v>
      </c>
      <c r="G2" s="25" t="s">
        <v>210</v>
      </c>
      <c r="H2" s="25" t="s">
        <v>192</v>
      </c>
      <c r="I2" s="25" t="s">
        <v>376</v>
      </c>
      <c r="J2" s="25" t="s">
        <v>383</v>
      </c>
      <c r="K2" s="25" t="s">
        <v>227</v>
      </c>
      <c r="L2" s="25" t="s">
        <v>227</v>
      </c>
      <c r="M2" s="25" t="s">
        <v>234</v>
      </c>
    </row>
    <row r="3" spans="1:13" x14ac:dyDescent="0.25">
      <c r="A3" s="25" t="s">
        <v>125</v>
      </c>
      <c r="B3" s="25" t="s">
        <v>22</v>
      </c>
      <c r="C3" s="25" t="s">
        <v>137</v>
      </c>
      <c r="D3" s="4" t="s">
        <v>126</v>
      </c>
      <c r="G3" s="25"/>
    </row>
    <row r="4" spans="1:13" x14ac:dyDescent="0.25">
      <c r="A4" s="25" t="s">
        <v>424</v>
      </c>
      <c r="B4" s="25" t="s">
        <v>47</v>
      </c>
      <c r="C4" s="25" t="s">
        <v>137</v>
      </c>
      <c r="D4" s="4" t="s">
        <v>425</v>
      </c>
      <c r="E4" s="16" t="s">
        <v>423</v>
      </c>
      <c r="G4" s="25" t="s">
        <v>210</v>
      </c>
      <c r="H4" s="25" t="s">
        <v>193</v>
      </c>
      <c r="I4" s="25" t="s">
        <v>376</v>
      </c>
      <c r="J4" s="25" t="s">
        <v>270</v>
      </c>
      <c r="K4" s="25" t="s">
        <v>227</v>
      </c>
      <c r="L4" s="25" t="s">
        <v>418</v>
      </c>
      <c r="M4" s="25" t="s">
        <v>234</v>
      </c>
    </row>
    <row r="5" spans="1:13" ht="30" x14ac:dyDescent="0.25">
      <c r="A5" s="25" t="s">
        <v>424</v>
      </c>
      <c r="B5" s="25" t="s">
        <v>47</v>
      </c>
      <c r="C5" s="25" t="s">
        <v>105</v>
      </c>
      <c r="D5" s="4" t="s">
        <v>469</v>
      </c>
      <c r="E5" s="16" t="s">
        <v>423</v>
      </c>
      <c r="G5" s="25" t="s">
        <v>210</v>
      </c>
      <c r="H5" s="25" t="s">
        <v>193</v>
      </c>
      <c r="I5" s="25" t="s">
        <v>376</v>
      </c>
      <c r="J5" s="25" t="s">
        <v>270</v>
      </c>
    </row>
    <row r="6" spans="1:13" x14ac:dyDescent="0.25">
      <c r="A6" s="25" t="s">
        <v>424</v>
      </c>
      <c r="B6" s="25" t="s">
        <v>22</v>
      </c>
      <c r="C6" s="25" t="s">
        <v>137</v>
      </c>
      <c r="D6" s="4" t="s">
        <v>426</v>
      </c>
      <c r="E6" s="16" t="s">
        <v>423</v>
      </c>
      <c r="G6" s="25" t="s">
        <v>210</v>
      </c>
      <c r="H6" s="25" t="s">
        <v>193</v>
      </c>
      <c r="I6" s="25" t="s">
        <v>376</v>
      </c>
      <c r="J6" s="25" t="s">
        <v>270</v>
      </c>
    </row>
    <row r="7" spans="1:13" x14ac:dyDescent="0.25">
      <c r="A7" s="25" t="s">
        <v>455</v>
      </c>
      <c r="B7" s="25" t="s">
        <v>22</v>
      </c>
      <c r="C7" s="25" t="s">
        <v>137</v>
      </c>
      <c r="D7" s="4" t="s">
        <v>457</v>
      </c>
      <c r="E7" s="16" t="s">
        <v>423</v>
      </c>
      <c r="G7" s="25" t="s">
        <v>210</v>
      </c>
      <c r="H7" s="25" t="s">
        <v>192</v>
      </c>
      <c r="I7" s="25" t="s">
        <v>376</v>
      </c>
      <c r="J7" s="25" t="s">
        <v>411</v>
      </c>
    </row>
  </sheetData>
  <conditionalFormatting sqref="E1048561:G1048576 D1:F1048560">
    <cfRule type="expression" dxfId="6" priority="2">
      <formula>LEN(D1)&gt;255</formula>
    </cfRule>
  </conditionalFormatting>
  <conditionalFormatting sqref="F1:F1048576">
    <cfRule type="expression" dxfId="5" priority="1">
      <formula>LEN(F1)&gt;255</formula>
    </cfRule>
  </conditionalFormatting>
  <dataValidations count="10">
    <dataValidation type="list" allowBlank="1" showInputMessage="1" showErrorMessage="1" sqref="A2:A1048576" xr:uid="{9189809D-C7FD-4E06-AD86-66E608C061AB}">
      <formula1>Actors</formula1>
    </dataValidation>
    <dataValidation type="list" allowBlank="1" showInputMessage="1" showErrorMessage="1" sqref="B2:B1048576" xr:uid="{93C05FD1-A2E5-42E2-825B-BB1E66C35125}">
      <formula1>ActorActions</formula1>
    </dataValidation>
    <dataValidation type="list" allowBlank="1" showInputMessage="1" showErrorMessage="1" sqref="C2:C1048576" xr:uid="{E823094D-1E42-4F51-8033-3A264A5DE976}">
      <formula1>AppsInScope</formula1>
    </dataValidation>
    <dataValidation type="list" allowBlank="1" showInputMessage="1" showErrorMessage="1" sqref="G2:G1048576" xr:uid="{1D190368-EB06-4E13-BC10-51C3BC38E262}">
      <formula1>DataClassification</formula1>
    </dataValidation>
    <dataValidation type="list" allowBlank="1" showInputMessage="1" showErrorMessage="1" sqref="H2:H1048576" xr:uid="{379B913E-1070-4049-AC22-6C5624EE69F8}">
      <formula1>ContainsPII</formula1>
    </dataValidation>
    <dataValidation type="list" allowBlank="1" showInputMessage="1" showErrorMessage="1" sqref="I2:I1048576" xr:uid="{C3CFC1D4-48C0-422A-9574-B110501A9E59}">
      <formula1>AuthMechanism</formula1>
    </dataValidation>
    <dataValidation type="list" allowBlank="1" showInputMessage="1" showErrorMessage="1" sqref="J2:J1048576" xr:uid="{405B65F4-85C5-48B4-B657-25644DF6E3DE}">
      <formula1>FailureDisposition</formula1>
    </dataValidation>
    <dataValidation type="list" allowBlank="1" showInputMessage="1" showErrorMessage="1" sqref="M2:M1048576" xr:uid="{6669F565-B29C-4539-BE0D-5F299CB44095}">
      <formula1>ApproximateVolume</formula1>
    </dataValidation>
    <dataValidation type="list" allowBlank="1" showInputMessage="1" showErrorMessage="1" sqref="K2:K1048576" xr:uid="{776CBECC-74B2-43A6-BDBF-ED2984AA0C8E}">
      <formula1>RetryStrategy</formula1>
    </dataValidation>
    <dataValidation type="list" allowBlank="1" showInputMessage="1" showErrorMessage="1" sqref="L2:L1048576" xr:uid="{FE033406-27F0-44C8-9975-6C24B67A978F}">
      <formula1>FailureAlerting</formula1>
    </dataValidation>
  </dataValidations>
  <pageMargins left="0.7" right="0.7" top="0.75" bottom="0.75" header="0.3" footer="0.3"/>
  <pageSetup orientation="portrait" horizontalDpi="90" verticalDpi="9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F477-46CA-4DE1-834E-E3C9B09E81D7}">
  <sheetPr codeName="Sheet5">
    <tabColor theme="9"/>
  </sheetPr>
  <dimension ref="A1:O6"/>
  <sheetViews>
    <sheetView workbookViewId="0">
      <selection activeCell="J15" sqref="J15"/>
    </sheetView>
  </sheetViews>
  <sheetFormatPr defaultRowHeight="15" x14ac:dyDescent="0.25"/>
  <cols>
    <col min="1" max="1" width="28.5703125" style="2" customWidth="1"/>
    <col min="2" max="2" width="28.5703125" style="23" customWidth="1"/>
    <col min="3" max="3" width="14.5703125" style="23" bestFit="1" customWidth="1"/>
    <col min="4" max="4" width="23.140625" style="23" bestFit="1" customWidth="1"/>
    <col min="5" max="5" width="42.85546875" customWidth="1"/>
    <col min="6" max="6" width="20" bestFit="1" customWidth="1"/>
    <col min="7" max="7" width="19.7109375" style="23" bestFit="1" customWidth="1"/>
    <col min="8" max="8" width="16" style="36" bestFit="1" customWidth="1"/>
    <col min="9" max="9" width="24" style="23" bestFit="1" customWidth="1"/>
    <col min="10" max="10" width="19.85546875" style="23" bestFit="1" customWidth="1"/>
    <col min="11" max="12" width="19.85546875" style="23" customWidth="1"/>
    <col min="13" max="13" width="22.5703125" style="36" bestFit="1" customWidth="1"/>
    <col min="14" max="14" width="21.7109375" style="36" bestFit="1" customWidth="1"/>
    <col min="15" max="15" width="16.42578125" style="23" bestFit="1" customWidth="1"/>
    <col min="16" max="17" width="28.140625" bestFit="1" customWidth="1"/>
  </cols>
  <sheetData>
    <row r="1" spans="1:15" s="1" customFormat="1" x14ac:dyDescent="0.25">
      <c r="A1" s="24" t="s">
        <v>8</v>
      </c>
      <c r="B1" s="24" t="s">
        <v>9</v>
      </c>
      <c r="C1" s="29" t="s">
        <v>13</v>
      </c>
      <c r="D1" s="29" t="s">
        <v>10</v>
      </c>
      <c r="E1" s="27" t="s">
        <v>14</v>
      </c>
      <c r="F1" s="27" t="s">
        <v>308</v>
      </c>
      <c r="G1" s="29" t="s">
        <v>171</v>
      </c>
      <c r="H1" s="30" t="s">
        <v>172</v>
      </c>
      <c r="I1" s="29" t="s">
        <v>173</v>
      </c>
      <c r="J1" s="29" t="s">
        <v>413</v>
      </c>
      <c r="K1" s="29" t="s">
        <v>414</v>
      </c>
      <c r="L1" s="29" t="s">
        <v>415</v>
      </c>
      <c r="M1" s="30" t="s">
        <v>191</v>
      </c>
      <c r="N1" s="30" t="s">
        <v>282</v>
      </c>
      <c r="O1" s="29" t="s">
        <v>249</v>
      </c>
    </row>
    <row r="2" spans="1:15" x14ac:dyDescent="0.25">
      <c r="A2" s="2" t="s">
        <v>78</v>
      </c>
      <c r="B2" s="23" t="s">
        <v>137</v>
      </c>
      <c r="C2" s="23" t="s">
        <v>2</v>
      </c>
      <c r="D2" s="23" t="s">
        <v>351</v>
      </c>
      <c r="E2" t="s">
        <v>87</v>
      </c>
      <c r="G2" s="23" t="s">
        <v>210</v>
      </c>
      <c r="H2" s="36" t="s">
        <v>193</v>
      </c>
      <c r="I2" s="23" t="s">
        <v>378</v>
      </c>
      <c r="J2" s="23" t="s">
        <v>411</v>
      </c>
      <c r="K2" s="23" t="s">
        <v>408</v>
      </c>
      <c r="L2" s="23" t="s">
        <v>227</v>
      </c>
      <c r="M2" s="36" t="s">
        <v>234</v>
      </c>
      <c r="N2" s="36" t="s">
        <v>192</v>
      </c>
      <c r="O2" s="23" t="s">
        <v>251</v>
      </c>
    </row>
    <row r="3" spans="1:15" x14ac:dyDescent="0.25">
      <c r="A3" s="2" t="s">
        <v>137</v>
      </c>
      <c r="B3" s="23" t="s">
        <v>38</v>
      </c>
      <c r="C3" s="23" t="s">
        <v>38</v>
      </c>
      <c r="D3" s="23" t="s">
        <v>97</v>
      </c>
      <c r="E3" t="s">
        <v>103</v>
      </c>
      <c r="G3" s="23" t="s">
        <v>210</v>
      </c>
      <c r="H3" s="36" t="s">
        <v>193</v>
      </c>
      <c r="I3" s="23" t="s">
        <v>378</v>
      </c>
      <c r="J3" s="23" t="s">
        <v>410</v>
      </c>
      <c r="K3" s="23" t="s">
        <v>408</v>
      </c>
      <c r="L3" s="23" t="s">
        <v>227</v>
      </c>
      <c r="M3" s="36" t="s">
        <v>234</v>
      </c>
      <c r="N3" s="36" t="s">
        <v>192</v>
      </c>
      <c r="O3" s="23" t="s">
        <v>251</v>
      </c>
    </row>
    <row r="4" spans="1:15" x14ac:dyDescent="0.25">
      <c r="A4" s="2" t="s">
        <v>38</v>
      </c>
      <c r="B4" s="23" t="s">
        <v>105</v>
      </c>
      <c r="C4" s="23" t="s">
        <v>340</v>
      </c>
      <c r="D4" s="23" t="s">
        <v>97</v>
      </c>
      <c r="E4" t="s">
        <v>103</v>
      </c>
      <c r="G4" s="23" t="s">
        <v>210</v>
      </c>
      <c r="H4" s="36" t="s">
        <v>193</v>
      </c>
      <c r="I4" s="23" t="s">
        <v>376</v>
      </c>
      <c r="J4" s="23" t="s">
        <v>411</v>
      </c>
      <c r="K4" s="23" t="s">
        <v>408</v>
      </c>
      <c r="L4" s="23" t="s">
        <v>227</v>
      </c>
      <c r="M4" s="36" t="s">
        <v>234</v>
      </c>
      <c r="N4" s="36" t="s">
        <v>192</v>
      </c>
      <c r="O4" s="23" t="s">
        <v>251</v>
      </c>
    </row>
    <row r="5" spans="1:15" x14ac:dyDescent="0.25">
      <c r="A5" s="2" t="s">
        <v>105</v>
      </c>
      <c r="B5" s="23" t="s">
        <v>73</v>
      </c>
      <c r="C5" s="23" t="s">
        <v>36</v>
      </c>
      <c r="D5" s="23" t="s">
        <v>28</v>
      </c>
      <c r="E5" t="s">
        <v>91</v>
      </c>
      <c r="G5" s="23" t="s">
        <v>210</v>
      </c>
      <c r="H5" s="36" t="s">
        <v>193</v>
      </c>
      <c r="I5" s="23" t="s">
        <v>227</v>
      </c>
      <c r="J5" s="23" t="s">
        <v>410</v>
      </c>
      <c r="K5" s="23" t="s">
        <v>408</v>
      </c>
      <c r="L5" s="23" t="s">
        <v>227</v>
      </c>
      <c r="M5" s="36" t="s">
        <v>234</v>
      </c>
      <c r="N5" s="36" t="s">
        <v>192</v>
      </c>
      <c r="O5" s="23" t="s">
        <v>251</v>
      </c>
    </row>
    <row r="6" spans="1:15" x14ac:dyDescent="0.25">
      <c r="A6" s="2" t="s">
        <v>73</v>
      </c>
      <c r="B6" s="23" t="s">
        <v>145</v>
      </c>
      <c r="C6" s="23" t="s">
        <v>36</v>
      </c>
      <c r="D6" s="23" t="s">
        <v>28</v>
      </c>
      <c r="E6" t="s">
        <v>90</v>
      </c>
      <c r="G6" s="23" t="s">
        <v>210</v>
      </c>
      <c r="H6" s="36" t="s">
        <v>193</v>
      </c>
      <c r="I6" s="23" t="s">
        <v>227</v>
      </c>
      <c r="J6" s="23" t="s">
        <v>410</v>
      </c>
      <c r="K6" s="23" t="s">
        <v>408</v>
      </c>
      <c r="L6" s="23" t="s">
        <v>227</v>
      </c>
      <c r="M6" s="36" t="s">
        <v>234</v>
      </c>
      <c r="N6" s="36" t="s">
        <v>192</v>
      </c>
      <c r="O6" s="23" t="s">
        <v>251</v>
      </c>
    </row>
  </sheetData>
  <conditionalFormatting sqref="E1:F1048576">
    <cfRule type="expression" dxfId="4" priority="1">
      <formula>LEN(E1)&gt;255</formula>
    </cfRule>
  </conditionalFormatting>
  <dataValidations count="12">
    <dataValidation type="list" allowBlank="1" showInputMessage="1" showErrorMessage="1" sqref="H2:H1048576" xr:uid="{E51B47D8-4A47-4D1E-B3A0-F7F297BC4591}">
      <formula1>ContainsPII</formula1>
    </dataValidation>
    <dataValidation type="list" allowBlank="1" showInputMessage="1" showErrorMessage="1" sqref="A2:B1048576" xr:uid="{EF72FFAB-96B6-4015-896F-F95A8EC54D8D}">
      <formula1>AppsInScope</formula1>
    </dataValidation>
    <dataValidation type="list" allowBlank="1" showInputMessage="1" showErrorMessage="1" sqref="C2:C1048576" xr:uid="{C44AF923-7D9A-4264-A5D7-1EF5BDA535CA}">
      <formula1>Via</formula1>
    </dataValidation>
    <dataValidation type="list" allowBlank="1" showInputMessage="1" showErrorMessage="1" sqref="D2:D1048576" xr:uid="{E4E1E810-CB56-4970-B354-705928A86D25}">
      <formula1>INDIRECT(SUBSTITUTE($C2," ",""))</formula1>
    </dataValidation>
    <dataValidation type="list" allowBlank="1" showInputMessage="1" showErrorMessage="1" sqref="G2:G1048576" xr:uid="{A41A41AF-9D31-4B5A-9FAE-5D0475635753}">
      <formula1>DataClassification</formula1>
    </dataValidation>
    <dataValidation type="list" allowBlank="1" showInputMessage="1" showErrorMessage="1" sqref="I2:I1048576" xr:uid="{8424460F-EAA0-405D-ABD1-942C050C77ED}">
      <formula1>AuthMechanism</formula1>
    </dataValidation>
    <dataValidation type="list" allowBlank="1" showInputMessage="1" showErrorMessage="1" sqref="J2:J1048576" xr:uid="{1A4EB4FC-459A-438E-839A-7B1254EFD758}">
      <formula1>FailureDisposition</formula1>
    </dataValidation>
    <dataValidation type="list" allowBlank="1" showInputMessage="1" showErrorMessage="1" sqref="M2:M1048576" xr:uid="{87061474-6412-4BE5-B594-4E849E6ABABA}">
      <formula1>ApproximateVolume</formula1>
    </dataValidation>
    <dataValidation type="list" allowBlank="1" showInputMessage="1" showErrorMessage="1" sqref="N2:N1048576" xr:uid="{FF7C2044-A468-4F56-B87E-4679DD32A63D}">
      <formula1>AgreementsInPlace</formula1>
    </dataValidation>
    <dataValidation type="list" allowBlank="1" showInputMessage="1" showErrorMessage="1" sqref="O2:O1048576" xr:uid="{694B28D6-0BB0-4B7F-B383-11412E4FDCF4}">
      <formula1>Stability</formula1>
    </dataValidation>
    <dataValidation type="list" allowBlank="1" showInputMessage="1" showErrorMessage="1" sqref="K2:K1048576" xr:uid="{2DC82EB2-0B32-4989-8091-87D88E92E7DB}">
      <formula1>RetryStrategy</formula1>
    </dataValidation>
    <dataValidation type="list" allowBlank="1" showInputMessage="1" showErrorMessage="1" sqref="L2:L1048576" xr:uid="{A8B42BD1-734D-48AD-96CF-E9E8EFF37E52}">
      <formula1>FailureAlerting</formula1>
    </dataValidation>
  </dataValidations>
  <pageMargins left="0.7" right="0.7" top="0.75" bottom="0.75" header="0.3" footer="0.3"/>
  <pageSetup orientation="portrait" horizontalDpi="90" verticalDpi="9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94E8-68D8-43E1-B72D-58940B033E58}">
  <sheetPr codeName="Sheet6">
    <tabColor theme="9"/>
  </sheetPr>
  <dimension ref="A1:M10"/>
  <sheetViews>
    <sheetView workbookViewId="0">
      <selection activeCell="M10" sqref="M10"/>
    </sheetView>
  </sheetViews>
  <sheetFormatPr defaultRowHeight="15" x14ac:dyDescent="0.25"/>
  <cols>
    <col min="1" max="1" width="28.5703125" style="23" customWidth="1"/>
    <col min="2" max="2" width="10" style="23" bestFit="1" customWidth="1"/>
    <col min="3" max="3" width="21.42578125" style="23" customWidth="1"/>
    <col min="4" max="4" width="23.140625" style="23" bestFit="1" customWidth="1"/>
    <col min="5" max="5" width="42.85546875" customWidth="1"/>
    <col min="6" max="6" width="20" bestFit="1" customWidth="1"/>
    <col min="7" max="7" width="19.7109375" style="23" bestFit="1" customWidth="1"/>
    <col min="8" max="8" width="13.7109375" style="23" bestFit="1" customWidth="1"/>
    <col min="9" max="9" width="24" style="23" bestFit="1" customWidth="1"/>
    <col min="10" max="10" width="20.140625" style="23" bestFit="1" customWidth="1"/>
    <col min="11" max="12" width="20.140625" style="23" customWidth="1"/>
    <col min="13" max="13" width="22.5703125" style="23" bestFit="1" customWidth="1"/>
    <col min="14" max="14" width="17.28515625" bestFit="1" customWidth="1"/>
  </cols>
  <sheetData>
    <row r="1" spans="1:13" s="1" customFormat="1" x14ac:dyDescent="0.25">
      <c r="A1" s="24" t="s">
        <v>8</v>
      </c>
      <c r="B1" s="29" t="s">
        <v>41</v>
      </c>
      <c r="C1" s="24" t="s">
        <v>17</v>
      </c>
      <c r="D1" s="29" t="s">
        <v>13</v>
      </c>
      <c r="E1" s="28" t="s">
        <v>14</v>
      </c>
      <c r="F1" s="28" t="s">
        <v>308</v>
      </c>
      <c r="G1" s="29" t="s">
        <v>171</v>
      </c>
      <c r="H1" s="29" t="s">
        <v>172</v>
      </c>
      <c r="I1" s="29" t="s">
        <v>173</v>
      </c>
      <c r="J1" s="29" t="s">
        <v>413</v>
      </c>
      <c r="K1" s="29" t="s">
        <v>414</v>
      </c>
      <c r="L1" s="29" t="s">
        <v>415</v>
      </c>
      <c r="M1" s="29" t="s">
        <v>191</v>
      </c>
    </row>
    <row r="2" spans="1:13" x14ac:dyDescent="0.25">
      <c r="A2" s="23" t="s">
        <v>137</v>
      </c>
      <c r="B2" s="23" t="s">
        <v>22</v>
      </c>
      <c r="C2" s="23" t="s">
        <v>102</v>
      </c>
      <c r="D2" s="23" t="s">
        <v>117</v>
      </c>
      <c r="E2" t="s">
        <v>133</v>
      </c>
      <c r="G2" s="23" t="s">
        <v>210</v>
      </c>
      <c r="H2" s="23" t="s">
        <v>192</v>
      </c>
      <c r="I2" s="23" t="s">
        <v>378</v>
      </c>
      <c r="J2" s="23" t="s">
        <v>411</v>
      </c>
      <c r="K2" s="23" t="s">
        <v>227</v>
      </c>
      <c r="L2" s="23" t="s">
        <v>417</v>
      </c>
      <c r="M2" s="23" t="s">
        <v>234</v>
      </c>
    </row>
    <row r="3" spans="1:13" x14ac:dyDescent="0.25">
      <c r="A3" s="23" t="s">
        <v>137</v>
      </c>
      <c r="B3" s="23" t="s">
        <v>23</v>
      </c>
      <c r="C3" s="23" t="s">
        <v>102</v>
      </c>
      <c r="D3" s="23" t="s">
        <v>118</v>
      </c>
      <c r="E3" t="s">
        <v>134</v>
      </c>
      <c r="G3" s="23" t="s">
        <v>210</v>
      </c>
      <c r="H3" s="23" t="s">
        <v>192</v>
      </c>
      <c r="I3" s="23" t="s">
        <v>378</v>
      </c>
      <c r="J3" s="23" t="s">
        <v>411</v>
      </c>
      <c r="K3" s="23" t="s">
        <v>227</v>
      </c>
      <c r="L3" s="23" t="s">
        <v>417</v>
      </c>
      <c r="M3" s="23" t="s">
        <v>234</v>
      </c>
    </row>
    <row r="4" spans="1:13" x14ac:dyDescent="0.25">
      <c r="A4" s="23" t="s">
        <v>137</v>
      </c>
      <c r="B4" s="23" t="s">
        <v>22</v>
      </c>
      <c r="C4" s="23" t="s">
        <v>383</v>
      </c>
      <c r="D4" s="23" t="s">
        <v>117</v>
      </c>
      <c r="E4" t="s">
        <v>448</v>
      </c>
      <c r="G4" s="23" t="s">
        <v>210</v>
      </c>
      <c r="H4" s="23" t="s">
        <v>192</v>
      </c>
      <c r="I4" s="23" t="s">
        <v>378</v>
      </c>
      <c r="J4" s="23" t="s">
        <v>411</v>
      </c>
      <c r="K4" s="23" t="s">
        <v>227</v>
      </c>
      <c r="L4" s="23" t="s">
        <v>417</v>
      </c>
      <c r="M4" s="23" t="s">
        <v>234</v>
      </c>
    </row>
    <row r="5" spans="1:13" x14ac:dyDescent="0.25">
      <c r="A5" s="23" t="s">
        <v>137</v>
      </c>
      <c r="B5" s="23" t="s">
        <v>23</v>
      </c>
      <c r="C5" s="23" t="s">
        <v>383</v>
      </c>
      <c r="D5" s="23" t="s">
        <v>118</v>
      </c>
      <c r="E5" t="s">
        <v>449</v>
      </c>
      <c r="G5" s="23" t="s">
        <v>210</v>
      </c>
      <c r="H5" s="23" t="s">
        <v>192</v>
      </c>
      <c r="I5" s="23" t="s">
        <v>378</v>
      </c>
      <c r="J5" s="23" t="s">
        <v>411</v>
      </c>
      <c r="K5" s="23" t="s">
        <v>227</v>
      </c>
      <c r="L5" s="23" t="s">
        <v>417</v>
      </c>
      <c r="M5" s="23" t="s">
        <v>234</v>
      </c>
    </row>
    <row r="6" spans="1:13" x14ac:dyDescent="0.25">
      <c r="A6" s="23" t="s">
        <v>137</v>
      </c>
      <c r="B6" s="23" t="s">
        <v>22</v>
      </c>
      <c r="C6" s="23" t="s">
        <v>440</v>
      </c>
      <c r="D6" s="23" t="s">
        <v>370</v>
      </c>
      <c r="E6" t="s">
        <v>450</v>
      </c>
      <c r="G6" s="23" t="s">
        <v>210</v>
      </c>
      <c r="H6" s="23" t="s">
        <v>193</v>
      </c>
      <c r="I6" s="23" t="s">
        <v>378</v>
      </c>
      <c r="J6" s="23" t="s">
        <v>411</v>
      </c>
      <c r="K6" s="23" t="s">
        <v>227</v>
      </c>
      <c r="L6" s="23" t="s">
        <v>417</v>
      </c>
      <c r="M6" s="23" t="s">
        <v>234</v>
      </c>
    </row>
    <row r="7" spans="1:13" x14ac:dyDescent="0.25">
      <c r="A7" s="23" t="s">
        <v>137</v>
      </c>
      <c r="B7" s="23" t="s">
        <v>22</v>
      </c>
      <c r="C7" s="23" t="s">
        <v>441</v>
      </c>
      <c r="D7" s="23" t="s">
        <v>51</v>
      </c>
      <c r="E7" t="s">
        <v>451</v>
      </c>
      <c r="G7" s="23" t="s">
        <v>210</v>
      </c>
      <c r="H7" s="23" t="s">
        <v>193</v>
      </c>
      <c r="I7" s="23" t="s">
        <v>378</v>
      </c>
      <c r="J7" s="23" t="s">
        <v>412</v>
      </c>
      <c r="K7" s="23" t="s">
        <v>227</v>
      </c>
      <c r="L7" s="23" t="s">
        <v>417</v>
      </c>
      <c r="M7" s="23" t="s">
        <v>234</v>
      </c>
    </row>
    <row r="8" spans="1:13" x14ac:dyDescent="0.25">
      <c r="A8" s="23" t="s">
        <v>137</v>
      </c>
      <c r="B8" s="23" t="s">
        <v>23</v>
      </c>
      <c r="C8" s="23" t="s">
        <v>452</v>
      </c>
      <c r="D8" s="23" t="s">
        <v>115</v>
      </c>
      <c r="E8" t="s">
        <v>458</v>
      </c>
      <c r="G8" s="23" t="s">
        <v>210</v>
      </c>
      <c r="H8" s="23" t="s">
        <v>192</v>
      </c>
      <c r="I8" s="23" t="s">
        <v>378</v>
      </c>
      <c r="J8" s="23" t="s">
        <v>411</v>
      </c>
      <c r="K8" s="23" t="s">
        <v>227</v>
      </c>
      <c r="L8" s="23" t="s">
        <v>417</v>
      </c>
      <c r="M8" s="23" t="s">
        <v>234</v>
      </c>
    </row>
    <row r="9" spans="1:13" x14ac:dyDescent="0.25">
      <c r="A9" s="23" t="s">
        <v>137</v>
      </c>
      <c r="B9" s="23" t="s">
        <v>22</v>
      </c>
      <c r="C9" s="23" t="s">
        <v>465</v>
      </c>
      <c r="D9" s="23" t="s">
        <v>51</v>
      </c>
      <c r="E9" t="s">
        <v>467</v>
      </c>
      <c r="G9" s="23" t="s">
        <v>210</v>
      </c>
      <c r="H9" s="23" t="s">
        <v>193</v>
      </c>
      <c r="I9" s="23" t="s">
        <v>378</v>
      </c>
      <c r="J9" s="23" t="s">
        <v>411</v>
      </c>
      <c r="K9" s="23" t="s">
        <v>227</v>
      </c>
      <c r="L9" s="23" t="s">
        <v>417</v>
      </c>
      <c r="M9" s="23" t="s">
        <v>234</v>
      </c>
    </row>
    <row r="10" spans="1:13" x14ac:dyDescent="0.25">
      <c r="A10" s="23" t="s">
        <v>137</v>
      </c>
      <c r="B10" s="23" t="s">
        <v>23</v>
      </c>
      <c r="C10" s="23" t="s">
        <v>465</v>
      </c>
      <c r="D10" s="23" t="s">
        <v>53</v>
      </c>
      <c r="E10" t="s">
        <v>468</v>
      </c>
      <c r="G10" s="23" t="s">
        <v>210</v>
      </c>
      <c r="H10" s="23" t="s">
        <v>193</v>
      </c>
      <c r="I10" s="23" t="s">
        <v>378</v>
      </c>
      <c r="J10" s="23" t="s">
        <v>411</v>
      </c>
      <c r="K10" s="23" t="s">
        <v>227</v>
      </c>
      <c r="L10" s="23" t="s">
        <v>417</v>
      </c>
      <c r="M10" s="23" t="s">
        <v>234</v>
      </c>
    </row>
  </sheetData>
  <phoneticPr fontId="7" type="noConversion"/>
  <conditionalFormatting sqref="E1:F1048576">
    <cfRule type="expression" dxfId="3" priority="1">
      <formula>LEN(E1)&gt;255</formula>
    </cfRule>
  </conditionalFormatting>
  <dataValidations count="11">
    <dataValidation type="list" allowBlank="1" showInputMessage="1" showErrorMessage="1" sqref="A2:A1048576" xr:uid="{90F3BF67-D3B4-4763-B1D7-3285F079F330}">
      <formula1>AppsInScope</formula1>
    </dataValidation>
    <dataValidation type="list" allowBlank="1" showInputMessage="1" showErrorMessage="1" sqref="C2:C1048576" xr:uid="{E4A65C05-8807-467D-8BE5-8A7BC2CAB903}">
      <formula1>DataStores</formula1>
    </dataValidation>
    <dataValidation type="list" allowBlank="1" showInputMessage="1" showErrorMessage="1" sqref="B2:B1048576" xr:uid="{2D3B32E1-6C91-4EBA-98AA-26B74F8EB13F}">
      <formula1>DataStoreActions</formula1>
    </dataValidation>
    <dataValidation type="list" allowBlank="1" showInputMessage="1" showErrorMessage="1" sqref="D2:D1048576" xr:uid="{0E65AC1E-1EEC-4C52-9D59-A31A84787FD4}">
      <formula1>INDIRECT(VLOOKUP($C2,DataStoreToType,2,FALSE))</formula1>
    </dataValidation>
    <dataValidation type="list" allowBlank="1" showInputMessage="1" showErrorMessage="1" sqref="G2:G1048576" xr:uid="{90C61614-8D93-41AF-9C6B-6E5E4504F122}">
      <formula1>DataClassification</formula1>
    </dataValidation>
    <dataValidation type="list" allowBlank="1" showInputMessage="1" showErrorMessage="1" sqref="H2:H1048576" xr:uid="{27E4E76B-8C55-4C47-94AD-AFD39743872C}">
      <formula1>ContainsPII</formula1>
    </dataValidation>
    <dataValidation type="list" allowBlank="1" showInputMessage="1" showErrorMessage="1" sqref="I2:I1048576" xr:uid="{42C69AD5-27A9-4629-8704-693AB570E27E}">
      <formula1>AuthMechanism</formula1>
    </dataValidation>
    <dataValidation type="list" allowBlank="1" showInputMessage="1" showErrorMessage="1" sqref="J2:J1048576" xr:uid="{F855C505-A218-4EF6-947E-9ADDDD428D0F}">
      <formula1>FailureDisposition</formula1>
    </dataValidation>
    <dataValidation type="list" allowBlank="1" showInputMessage="1" showErrorMessage="1" sqref="M2:M1048576" xr:uid="{6F7D99FC-6D38-4CA5-8FB4-0483DF6DDE80}">
      <formula1>ApproximateVolume</formula1>
    </dataValidation>
    <dataValidation type="list" allowBlank="1" showInputMessage="1" showErrorMessage="1" sqref="K2:K1048576" xr:uid="{F195CDE9-31CA-4AB1-AE8C-F8E35883CB21}">
      <formula1>RetryStrategy</formula1>
    </dataValidation>
    <dataValidation type="list" allowBlank="1" showInputMessage="1" showErrorMessage="1" sqref="L2:L1048576" xr:uid="{2D4023C5-C36E-49D3-8385-5CC223A257A7}">
      <formula1>FailureAlerting</formula1>
    </dataValidation>
  </dataValidations>
  <pageMargins left="0.7" right="0.7" top="0.75" bottom="0.75" header="0.3" footer="0.3"/>
  <pageSetup orientation="portrait" horizontalDpi="90" verticalDpi="90"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3332-8C19-43E5-AF06-6545DD0B86A3}">
  <sheetPr codeName="Sheet8">
    <tabColor theme="7"/>
  </sheetPr>
  <dimension ref="A1:Q21"/>
  <sheetViews>
    <sheetView workbookViewId="0">
      <pane ySplit="1" topLeftCell="A5" activePane="bottomLeft" state="frozen"/>
      <selection pane="bottomLeft" activeCell="J14" sqref="J14"/>
    </sheetView>
  </sheetViews>
  <sheetFormatPr defaultRowHeight="15" x14ac:dyDescent="0.25"/>
  <cols>
    <col min="1" max="1" width="29.140625" style="6" bestFit="1" customWidth="1"/>
    <col min="2" max="2" width="10.28515625" style="6" bestFit="1" customWidth="1"/>
    <col min="3" max="3" width="18.85546875" style="6" bestFit="1" customWidth="1"/>
    <col min="4" max="4" width="66.28515625" style="4" customWidth="1"/>
    <col min="5" max="5" width="19" style="4" bestFit="1" customWidth="1"/>
    <col min="6" max="6" width="18.140625" style="4" bestFit="1" customWidth="1"/>
    <col min="7" max="7" width="25.85546875" style="4" bestFit="1" customWidth="1"/>
    <col min="8" max="8" width="21.140625" style="4" bestFit="1" customWidth="1"/>
    <col min="9" max="9" width="18.5703125" style="5" customWidth="1"/>
    <col min="10" max="10" width="13.7109375" style="5" bestFit="1" customWidth="1"/>
    <col min="11" max="11" width="16.42578125" style="5" bestFit="1" customWidth="1"/>
    <col min="12" max="12" width="20.7109375" style="5" bestFit="1" customWidth="1"/>
    <col min="13" max="13" width="17.28515625" style="5" bestFit="1" customWidth="1"/>
    <col min="14" max="14" width="18.7109375" style="5" bestFit="1" customWidth="1"/>
    <col min="15" max="15" width="10.85546875" style="5" bestFit="1" customWidth="1"/>
    <col min="16" max="16" width="13.28515625" style="5" bestFit="1" customWidth="1"/>
    <col min="17" max="17" width="21" style="5" bestFit="1" customWidth="1"/>
    <col min="18" max="18" width="13.28515625" style="6" bestFit="1" customWidth="1"/>
    <col min="19" max="19" width="21" style="6" bestFit="1" customWidth="1"/>
    <col min="20" max="16384" width="9.140625" style="6"/>
  </cols>
  <sheetData>
    <row r="1" spans="1:17" s="3" customFormat="1" x14ac:dyDescent="0.25">
      <c r="A1" s="3" t="s">
        <v>8</v>
      </c>
      <c r="B1" s="3" t="s">
        <v>0</v>
      </c>
      <c r="C1" s="3" t="s">
        <v>11</v>
      </c>
      <c r="D1" s="17" t="s">
        <v>1</v>
      </c>
      <c r="E1" s="17" t="s">
        <v>182</v>
      </c>
      <c r="F1" s="17" t="s">
        <v>183</v>
      </c>
      <c r="G1" s="17" t="s">
        <v>184</v>
      </c>
      <c r="H1" s="17" t="s">
        <v>185</v>
      </c>
      <c r="I1" s="29" t="s">
        <v>171</v>
      </c>
      <c r="J1" s="29" t="s">
        <v>172</v>
      </c>
      <c r="K1" s="29" t="s">
        <v>404</v>
      </c>
      <c r="L1" s="29" t="s">
        <v>186</v>
      </c>
      <c r="M1" s="29" t="s">
        <v>187</v>
      </c>
      <c r="N1" s="29" t="s">
        <v>188</v>
      </c>
      <c r="O1" s="29" t="s">
        <v>212</v>
      </c>
      <c r="P1" s="29" t="s">
        <v>218</v>
      </c>
      <c r="Q1" s="29" t="s">
        <v>258</v>
      </c>
    </row>
    <row r="2" spans="1:17" ht="60" x14ac:dyDescent="0.25">
      <c r="A2" s="6" t="s">
        <v>56</v>
      </c>
      <c r="B2" s="6" t="s">
        <v>59</v>
      </c>
      <c r="C2" s="6" t="s">
        <v>313</v>
      </c>
      <c r="D2" s="4" t="s">
        <v>127</v>
      </c>
      <c r="E2" s="18" t="s">
        <v>280</v>
      </c>
      <c r="F2" s="18" t="s">
        <v>280</v>
      </c>
    </row>
    <row r="3" spans="1:17" ht="30" x14ac:dyDescent="0.25">
      <c r="A3" s="6" t="s">
        <v>58</v>
      </c>
      <c r="B3" s="6" t="s">
        <v>60</v>
      </c>
      <c r="C3" s="6" t="s">
        <v>311</v>
      </c>
      <c r="D3" s="4" t="s">
        <v>136</v>
      </c>
      <c r="E3" s="4" t="s">
        <v>286</v>
      </c>
      <c r="F3" s="4" t="s">
        <v>278</v>
      </c>
    </row>
    <row r="4" spans="1:17" ht="45" x14ac:dyDescent="0.25">
      <c r="A4" s="6" t="s">
        <v>6</v>
      </c>
      <c r="B4" s="6" t="s">
        <v>61</v>
      </c>
      <c r="C4" s="6" t="s">
        <v>310</v>
      </c>
      <c r="D4" s="4" t="s">
        <v>140</v>
      </c>
      <c r="E4" s="4" t="s">
        <v>286</v>
      </c>
      <c r="F4" s="4" t="s">
        <v>278</v>
      </c>
    </row>
    <row r="5" spans="1:17" ht="45" x14ac:dyDescent="0.25">
      <c r="A5" s="6" t="s">
        <v>137</v>
      </c>
      <c r="B5" s="6" t="s">
        <v>75</v>
      </c>
      <c r="C5" s="6" t="s">
        <v>311</v>
      </c>
      <c r="D5" s="4" t="s">
        <v>138</v>
      </c>
      <c r="E5" s="4" t="s">
        <v>286</v>
      </c>
      <c r="F5" s="4" t="s">
        <v>278</v>
      </c>
      <c r="I5" s="5" t="s">
        <v>210</v>
      </c>
      <c r="J5" s="5" t="s">
        <v>192</v>
      </c>
      <c r="K5" s="5" t="s">
        <v>202</v>
      </c>
      <c r="L5" s="5" t="s">
        <v>231</v>
      </c>
      <c r="M5" s="5" t="s">
        <v>234</v>
      </c>
      <c r="N5" s="5" t="s">
        <v>323</v>
      </c>
      <c r="O5" s="5" t="s">
        <v>213</v>
      </c>
      <c r="P5" s="5" t="s">
        <v>213</v>
      </c>
      <c r="Q5" s="5" t="s">
        <v>213</v>
      </c>
    </row>
    <row r="6" spans="1:17" ht="30" x14ac:dyDescent="0.25">
      <c r="A6" s="6" t="s">
        <v>78</v>
      </c>
      <c r="B6" s="6" t="s">
        <v>62</v>
      </c>
      <c r="C6" s="6" t="s">
        <v>311</v>
      </c>
      <c r="D6" s="4" t="s">
        <v>139</v>
      </c>
      <c r="E6" s="4" t="s">
        <v>287</v>
      </c>
      <c r="F6" s="4" t="s">
        <v>278</v>
      </c>
      <c r="I6" s="5" t="s">
        <v>211</v>
      </c>
      <c r="J6" s="5" t="s">
        <v>192</v>
      </c>
      <c r="K6" s="5" t="s">
        <v>202</v>
      </c>
      <c r="L6" s="5" t="s">
        <v>231</v>
      </c>
      <c r="M6" s="5" t="s">
        <v>248</v>
      </c>
      <c r="N6" s="5" t="s">
        <v>239</v>
      </c>
      <c r="O6" s="5" t="s">
        <v>214</v>
      </c>
      <c r="P6" s="5" t="s">
        <v>214</v>
      </c>
      <c r="Q6" s="5" t="s">
        <v>214</v>
      </c>
    </row>
    <row r="7" spans="1:17" ht="60" x14ac:dyDescent="0.25">
      <c r="A7" s="6" t="s">
        <v>109</v>
      </c>
      <c r="B7" s="6" t="s">
        <v>63</v>
      </c>
      <c r="C7" s="6" t="s">
        <v>309</v>
      </c>
      <c r="D7" s="4" t="s">
        <v>89</v>
      </c>
      <c r="E7" s="4" t="s">
        <v>287</v>
      </c>
      <c r="F7" s="4" t="s">
        <v>278</v>
      </c>
    </row>
    <row r="8" spans="1:17" ht="30" x14ac:dyDescent="0.25">
      <c r="A8" s="6" t="s">
        <v>48</v>
      </c>
      <c r="B8" s="6" t="s">
        <v>64</v>
      </c>
      <c r="C8" s="6" t="s">
        <v>311</v>
      </c>
      <c r="D8" s="4" t="s">
        <v>57</v>
      </c>
      <c r="E8" s="4" t="s">
        <v>285</v>
      </c>
      <c r="F8" s="4" t="s">
        <v>278</v>
      </c>
    </row>
    <row r="9" spans="1:17" ht="30" x14ac:dyDescent="0.25">
      <c r="A9" s="6" t="s">
        <v>55</v>
      </c>
      <c r="B9" s="6" t="s">
        <v>65</v>
      </c>
      <c r="C9" s="6" t="s">
        <v>311</v>
      </c>
      <c r="D9" s="4" t="s">
        <v>128</v>
      </c>
      <c r="E9" s="4" t="s">
        <v>285</v>
      </c>
      <c r="F9" s="4" t="s">
        <v>278</v>
      </c>
    </row>
    <row r="10" spans="1:17" ht="45" x14ac:dyDescent="0.25">
      <c r="A10" s="6" t="s">
        <v>7</v>
      </c>
      <c r="B10" s="6" t="s">
        <v>66</v>
      </c>
      <c r="C10" s="6" t="s">
        <v>310</v>
      </c>
      <c r="D10" s="4" t="s">
        <v>129</v>
      </c>
      <c r="E10" s="4" t="s">
        <v>278</v>
      </c>
      <c r="F10" s="4" t="s">
        <v>278</v>
      </c>
    </row>
    <row r="11" spans="1:17" ht="45" x14ac:dyDescent="0.25">
      <c r="A11" s="6" t="s">
        <v>145</v>
      </c>
      <c r="B11" s="6" t="s">
        <v>72</v>
      </c>
      <c r="C11" s="6" t="s">
        <v>312</v>
      </c>
      <c r="D11" s="4" t="s">
        <v>146</v>
      </c>
      <c r="E11" s="18" t="s">
        <v>280</v>
      </c>
      <c r="F11" s="4" t="s">
        <v>279</v>
      </c>
      <c r="G11" s="4" t="s">
        <v>275</v>
      </c>
      <c r="J11" s="5" t="s">
        <v>192</v>
      </c>
      <c r="K11" s="5" t="s">
        <v>327</v>
      </c>
      <c r="L11" s="5" t="s">
        <v>227</v>
      </c>
      <c r="M11" s="5" t="s">
        <v>234</v>
      </c>
      <c r="N11" s="5" t="s">
        <v>227</v>
      </c>
      <c r="O11" s="5" t="s">
        <v>213</v>
      </c>
      <c r="P11" s="5" t="s">
        <v>213</v>
      </c>
      <c r="Q11" s="5" t="s">
        <v>213</v>
      </c>
    </row>
    <row r="12" spans="1:17" ht="30" x14ac:dyDescent="0.25">
      <c r="A12" s="6" t="s">
        <v>4</v>
      </c>
      <c r="B12" s="6" t="s">
        <v>67</v>
      </c>
      <c r="C12" s="6" t="s">
        <v>310</v>
      </c>
      <c r="D12" s="4" t="s">
        <v>141</v>
      </c>
      <c r="E12" s="4" t="s">
        <v>278</v>
      </c>
      <c r="F12" s="4" t="s">
        <v>278</v>
      </c>
    </row>
    <row r="13" spans="1:17" ht="45" x14ac:dyDescent="0.25">
      <c r="A13" s="6" t="s">
        <v>3</v>
      </c>
      <c r="B13" s="6" t="s">
        <v>68</v>
      </c>
      <c r="C13" s="6" t="s">
        <v>313</v>
      </c>
      <c r="D13" s="4" t="s">
        <v>130</v>
      </c>
      <c r="E13" s="18" t="s">
        <v>280</v>
      </c>
      <c r="F13" s="18" t="s">
        <v>280</v>
      </c>
    </row>
    <row r="14" spans="1:17" ht="30" x14ac:dyDescent="0.25">
      <c r="A14" s="6" t="s">
        <v>38</v>
      </c>
      <c r="B14" s="6" t="s">
        <v>69</v>
      </c>
      <c r="C14" s="6" t="s">
        <v>313</v>
      </c>
      <c r="D14" s="4" t="s">
        <v>131</v>
      </c>
      <c r="E14" s="18" t="s">
        <v>280</v>
      </c>
      <c r="F14" s="18" t="s">
        <v>280</v>
      </c>
      <c r="G14" s="4" t="s">
        <v>470</v>
      </c>
      <c r="K14" s="5" t="s">
        <v>402</v>
      </c>
      <c r="L14" s="5" t="s">
        <v>232</v>
      </c>
      <c r="M14" s="5" t="s">
        <v>233</v>
      </c>
      <c r="N14" s="5" t="s">
        <v>227</v>
      </c>
      <c r="O14" s="5" t="s">
        <v>213</v>
      </c>
      <c r="P14" s="5" t="s">
        <v>213</v>
      </c>
      <c r="Q14" s="5" t="s">
        <v>213</v>
      </c>
    </row>
    <row r="15" spans="1:17" ht="45" x14ac:dyDescent="0.25">
      <c r="A15" s="6" t="s">
        <v>83</v>
      </c>
      <c r="B15" s="6" t="s">
        <v>70</v>
      </c>
      <c r="C15" s="6" t="s">
        <v>220</v>
      </c>
      <c r="D15" s="4" t="s">
        <v>84</v>
      </c>
      <c r="E15" s="4" t="s">
        <v>288</v>
      </c>
      <c r="F15" s="4" t="s">
        <v>278</v>
      </c>
    </row>
    <row r="16" spans="1:17" ht="45" x14ac:dyDescent="0.25">
      <c r="A16" s="6" t="s">
        <v>73</v>
      </c>
      <c r="B16" s="6" t="s">
        <v>71</v>
      </c>
      <c r="C16" s="6" t="s">
        <v>313</v>
      </c>
      <c r="D16" s="4" t="s">
        <v>142</v>
      </c>
      <c r="E16" s="18" t="s">
        <v>280</v>
      </c>
      <c r="F16" s="18" t="s">
        <v>280</v>
      </c>
    </row>
    <row r="17" spans="1:17" ht="60" x14ac:dyDescent="0.25">
      <c r="A17" s="16" t="s">
        <v>105</v>
      </c>
      <c r="B17" s="6" t="s">
        <v>82</v>
      </c>
      <c r="C17" s="6" t="s">
        <v>309</v>
      </c>
      <c r="D17" s="18" t="s">
        <v>294</v>
      </c>
      <c r="E17" s="18" t="s">
        <v>289</v>
      </c>
      <c r="F17" s="18" t="s">
        <v>278</v>
      </c>
      <c r="G17" s="18" t="s">
        <v>276</v>
      </c>
      <c r="H17" s="18" t="s">
        <v>277</v>
      </c>
      <c r="I17" s="5" t="s">
        <v>210</v>
      </c>
      <c r="J17" s="5" t="s">
        <v>192</v>
      </c>
      <c r="K17" s="5" t="s">
        <v>326</v>
      </c>
      <c r="L17" s="5" t="s">
        <v>231</v>
      </c>
      <c r="M17" s="5" t="s">
        <v>233</v>
      </c>
      <c r="N17" s="5" t="s">
        <v>239</v>
      </c>
      <c r="O17" s="5" t="s">
        <v>213</v>
      </c>
      <c r="P17" s="5" t="s">
        <v>213</v>
      </c>
      <c r="Q17" s="5" t="s">
        <v>213</v>
      </c>
    </row>
    <row r="18" spans="1:17" ht="45" x14ac:dyDescent="0.25">
      <c r="A18" s="6" t="s">
        <v>5</v>
      </c>
      <c r="B18" s="6" t="s">
        <v>74</v>
      </c>
      <c r="C18" s="6" t="s">
        <v>311</v>
      </c>
      <c r="D18" s="4" t="s">
        <v>143</v>
      </c>
      <c r="E18" s="4" t="s">
        <v>286</v>
      </c>
      <c r="F18" s="18" t="s">
        <v>278</v>
      </c>
    </row>
    <row r="19" spans="1:17" s="16" customFormat="1" ht="45" x14ac:dyDescent="0.25">
      <c r="A19" s="6" t="s">
        <v>37</v>
      </c>
      <c r="B19" s="6" t="s">
        <v>79</v>
      </c>
      <c r="C19" s="6" t="s">
        <v>313</v>
      </c>
      <c r="D19" s="4" t="s">
        <v>132</v>
      </c>
      <c r="E19" s="18" t="s">
        <v>280</v>
      </c>
      <c r="F19" s="18" t="s">
        <v>280</v>
      </c>
      <c r="G19" s="4"/>
      <c r="H19" s="4"/>
      <c r="I19" s="5"/>
      <c r="J19" s="5"/>
      <c r="K19" s="5"/>
      <c r="L19" s="5"/>
      <c r="M19" s="5"/>
      <c r="N19" s="5"/>
      <c r="O19" s="5"/>
      <c r="P19" s="5"/>
      <c r="Q19" s="5"/>
    </row>
    <row r="20" spans="1:17" s="16" customFormat="1" ht="45" x14ac:dyDescent="0.25">
      <c r="A20" s="6" t="s">
        <v>106</v>
      </c>
      <c r="B20" s="6" t="s">
        <v>85</v>
      </c>
      <c r="C20" s="6" t="s">
        <v>309</v>
      </c>
      <c r="D20" s="4" t="s">
        <v>154</v>
      </c>
      <c r="E20" s="4" t="s">
        <v>290</v>
      </c>
      <c r="F20" s="18" t="s">
        <v>278</v>
      </c>
      <c r="G20" s="4" t="s">
        <v>291</v>
      </c>
      <c r="H20" s="4"/>
      <c r="I20" s="5"/>
      <c r="J20" s="5"/>
      <c r="K20" s="5"/>
      <c r="L20" s="5"/>
      <c r="M20" s="5"/>
      <c r="N20" s="5"/>
      <c r="O20" s="5"/>
      <c r="P20" s="5"/>
      <c r="Q20" s="5"/>
    </row>
    <row r="21" spans="1:17" s="7" customFormat="1" ht="45" x14ac:dyDescent="0.25">
      <c r="A21" s="6" t="s">
        <v>81</v>
      </c>
      <c r="B21" s="6" t="s">
        <v>88</v>
      </c>
      <c r="C21" s="6" t="s">
        <v>312</v>
      </c>
      <c r="D21" s="4" t="s">
        <v>144</v>
      </c>
      <c r="E21" s="18" t="s">
        <v>280</v>
      </c>
      <c r="F21" s="4" t="s">
        <v>279</v>
      </c>
      <c r="G21" s="4" t="s">
        <v>284</v>
      </c>
      <c r="H21" s="4"/>
      <c r="I21" s="5"/>
      <c r="J21" s="5"/>
      <c r="K21" s="5"/>
      <c r="L21" s="5"/>
      <c r="M21" s="5"/>
      <c r="N21" s="5"/>
      <c r="O21" s="5"/>
      <c r="P21" s="5"/>
      <c r="Q21" s="5"/>
    </row>
  </sheetData>
  <sortState xmlns:xlrd2="http://schemas.microsoft.com/office/spreadsheetml/2017/richdata2" ref="A3:D20">
    <sortCondition ref="A3:A20"/>
  </sortState>
  <phoneticPr fontId="7" type="noConversion"/>
  <conditionalFormatting sqref="A1:A1048576">
    <cfRule type="duplicateValues" dxfId="2" priority="1"/>
  </conditionalFormatting>
  <conditionalFormatting sqref="D1:D1048576">
    <cfRule type="expression" dxfId="1" priority="2">
      <formula>LEN(D1) &gt; 255</formula>
    </cfRule>
  </conditionalFormatting>
  <conditionalFormatting sqref="E1:H1048576">
    <cfRule type="expression" dxfId="0" priority="3">
      <formula>LEN(E1)&gt;255</formula>
    </cfRule>
  </conditionalFormatting>
  <dataValidations count="10">
    <dataValidation type="list" allowBlank="1" showInputMessage="1" showErrorMessage="1" sqref="C2:C1048576" xr:uid="{B9533816-C209-4EA0-8828-4619D26C260B}">
      <formula1>ApplicationTypes</formula1>
    </dataValidation>
    <dataValidation type="list" allowBlank="1" showInputMessage="1" showErrorMessage="1" sqref="I2:I1048576" xr:uid="{378CCD25-E907-4297-8838-353C62A4D43E}">
      <formula1>DataClassification</formula1>
    </dataValidation>
    <dataValidation type="list" allowBlank="1" showInputMessage="1" showErrorMessage="1" sqref="J2:J1048576" xr:uid="{063736A6-E62B-4AD3-A7FF-7AC01EDAAE64}">
      <formula1>ContainsPII</formula1>
    </dataValidation>
    <dataValidation type="list" allowBlank="1" showInputMessage="1" showErrorMessage="1" sqref="L2:L1048576" xr:uid="{54865155-437B-4EB4-B761-7B34D1308535}">
      <formula1>RedundancyModel</formula1>
    </dataValidation>
    <dataValidation type="list" allowBlank="1" showInputMessage="1" showErrorMessage="1" sqref="M2:M1048576" xr:uid="{A07224CA-6768-4544-817F-524B41BAB1C3}">
      <formula1>Criticality</formula1>
    </dataValidation>
    <dataValidation type="list" allowBlank="1" showInputMessage="1" showErrorMessage="1" sqref="N2:N1048576" xr:uid="{A962E087-FFFC-4BF6-98AA-347F1EECE909}">
      <formula1>RegulatoryScope</formula1>
    </dataValidation>
    <dataValidation type="list" allowBlank="1" showInputMessage="1" showErrorMessage="1" sqref="O2:O1048576" xr:uid="{6909AB76-F99B-4A17-BC96-4EACCA8F7356}">
      <formula1>Integrity</formula1>
    </dataValidation>
    <dataValidation type="list" allowBlank="1" showInputMessage="1" showErrorMessage="1" sqref="P2:P1048576" xr:uid="{F4D8B225-0233-49F7-AF24-52D9E2311AD2}">
      <formula1>Availability</formula1>
    </dataValidation>
    <dataValidation type="list" allowBlank="1" showInputMessage="1" showErrorMessage="1" sqref="Q2:Q1048576" xr:uid="{4C8C14B5-E4BF-4814-858D-5950FE494F00}">
      <formula1>BusinessContinuity</formula1>
    </dataValidation>
    <dataValidation type="list" allowBlank="1" showInputMessage="1" showErrorMessage="1" sqref="K2:K1048576" xr:uid="{D14EB1A4-793A-473B-9641-E4273B37B911}">
      <formula1>HostingModel</formula1>
    </dataValidation>
  </dataValidations>
  <pageMargins left="0.7" right="0.7" top="0.75" bottom="0.75" header="0.3" footer="0.3"/>
  <pageSetup orientation="portrait" horizontalDpi="90" verticalDpi="90"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1E18-905F-4E21-B88E-350DE1382F27}">
  <sheetPr codeName="Sheet7">
    <tabColor rgb="FF00B0F0"/>
  </sheetPr>
  <dimension ref="B1:R137"/>
  <sheetViews>
    <sheetView workbookViewId="0">
      <selection activeCell="B29" sqref="B29"/>
    </sheetView>
  </sheetViews>
  <sheetFormatPr defaultRowHeight="15" x14ac:dyDescent="0.25"/>
  <cols>
    <col min="1" max="1" width="2.85546875" customWidth="1"/>
    <col min="2" max="2" width="23" bestFit="1" customWidth="1"/>
    <col min="3" max="3" width="2.85546875" customWidth="1"/>
    <col min="4" max="4" width="23" customWidth="1"/>
    <col min="5" max="5" width="2.85546875" customWidth="1"/>
    <col min="6" max="6" width="27.85546875" bestFit="1" customWidth="1"/>
    <col min="7" max="7" width="2.85546875" customWidth="1"/>
    <col min="8" max="8" width="29" bestFit="1" customWidth="1"/>
    <col min="9" max="9" width="2.85546875" customWidth="1"/>
    <col min="10" max="10" width="19.85546875" bestFit="1" customWidth="1"/>
    <col min="11" max="11" width="2.85546875" customWidth="1"/>
    <col min="12" max="12" width="24.42578125" bestFit="1" customWidth="1"/>
    <col min="13" max="13" width="2.85546875" customWidth="1"/>
    <col min="14" max="14" width="23.42578125" bestFit="1" customWidth="1"/>
    <col min="15" max="15" width="2.85546875" customWidth="1"/>
    <col min="16" max="16" width="32.5703125" bestFit="1" customWidth="1"/>
    <col min="17" max="17" width="2.85546875" customWidth="1"/>
    <col min="18" max="18" width="29.140625" bestFit="1" customWidth="1"/>
  </cols>
  <sheetData>
    <row r="1" spans="2:18" x14ac:dyDescent="0.25">
      <c r="B1" s="32" t="s">
        <v>314</v>
      </c>
      <c r="D1" s="12" t="s">
        <v>315</v>
      </c>
      <c r="F1" s="35" t="s">
        <v>316</v>
      </c>
      <c r="G1" s="35"/>
      <c r="H1" s="35"/>
      <c r="J1" s="34" t="s">
        <v>318</v>
      </c>
      <c r="L1" s="34" t="s">
        <v>319</v>
      </c>
      <c r="N1" s="34" t="s">
        <v>317</v>
      </c>
    </row>
    <row r="3" spans="2:18" s="1" customFormat="1" x14ac:dyDescent="0.25">
      <c r="B3" s="33" t="s">
        <v>12</v>
      </c>
      <c r="D3" s="33" t="s">
        <v>25</v>
      </c>
      <c r="F3" s="33" t="s">
        <v>40</v>
      </c>
      <c r="G3"/>
      <c r="H3" s="33" t="s">
        <v>201</v>
      </c>
      <c r="J3" s="33" t="s">
        <v>46</v>
      </c>
      <c r="L3" s="33" t="s">
        <v>13</v>
      </c>
      <c r="N3" s="33" t="s">
        <v>42</v>
      </c>
      <c r="P3" s="33" t="s">
        <v>217</v>
      </c>
      <c r="R3" s="1" t="s">
        <v>155</v>
      </c>
    </row>
    <row r="4" spans="2:18" x14ac:dyDescent="0.25">
      <c r="B4" s="10" t="s">
        <v>309</v>
      </c>
      <c r="D4" s="10" t="s">
        <v>104</v>
      </c>
      <c r="F4" s="13" t="s">
        <v>20</v>
      </c>
      <c r="J4" s="10" t="s">
        <v>23</v>
      </c>
      <c r="L4" s="10" t="s">
        <v>56</v>
      </c>
      <c r="N4" s="10" t="s">
        <v>23</v>
      </c>
      <c r="P4" s="21" t="s">
        <v>209</v>
      </c>
      <c r="R4" t="str" cm="1">
        <f t="array" ref="R4:R23">_xlfn._xlws.SORT(_xlfn.UNIQUE(_xlfn._xlws.FILTER(Application_Descriptions[Application Title], Application_Descriptions[Application Title]&lt;&gt;"")))</f>
        <v>API Gateway</v>
      </c>
    </row>
    <row r="5" spans="2:18" x14ac:dyDescent="0.25">
      <c r="B5" s="10" t="s">
        <v>310</v>
      </c>
      <c r="D5" s="10" t="s">
        <v>157</v>
      </c>
      <c r="F5" s="10" t="s">
        <v>35</v>
      </c>
      <c r="J5" s="10" t="s">
        <v>47</v>
      </c>
      <c r="L5" s="10" t="s">
        <v>340</v>
      </c>
      <c r="N5" s="11" t="s">
        <v>22</v>
      </c>
      <c r="P5" s="21" t="s">
        <v>210</v>
      </c>
      <c r="R5" t="str">
        <v>B2C Website</v>
      </c>
    </row>
    <row r="6" spans="2:18" x14ac:dyDescent="0.25">
      <c r="B6" s="10" t="s">
        <v>311</v>
      </c>
      <c r="D6" s="10" t="s">
        <v>26</v>
      </c>
      <c r="F6" s="10" t="s">
        <v>19</v>
      </c>
      <c r="J6" s="11" t="s">
        <v>22</v>
      </c>
      <c r="L6" s="10" t="s">
        <v>36</v>
      </c>
      <c r="P6" s="21" t="s">
        <v>211</v>
      </c>
      <c r="R6" t="str">
        <v>Chatbot</v>
      </c>
    </row>
    <row r="7" spans="2:18" x14ac:dyDescent="0.25">
      <c r="B7" s="10" t="s">
        <v>312</v>
      </c>
      <c r="D7" s="10" t="s">
        <v>156</v>
      </c>
      <c r="F7" s="10" t="s">
        <v>114</v>
      </c>
      <c r="L7" s="10" t="s">
        <v>2</v>
      </c>
      <c r="P7" s="21" t="s">
        <v>216</v>
      </c>
      <c r="R7" t="str">
        <v>Consumer Notifications</v>
      </c>
    </row>
    <row r="8" spans="2:18" x14ac:dyDescent="0.25">
      <c r="B8" s="10" t="s">
        <v>220</v>
      </c>
      <c r="D8" s="10" t="s">
        <v>101</v>
      </c>
      <c r="F8" s="10" t="s">
        <v>24</v>
      </c>
      <c r="J8" s="33" t="s">
        <v>247</v>
      </c>
      <c r="L8" s="10" t="s">
        <v>43</v>
      </c>
      <c r="R8" t="str">
        <v>Credit Application System</v>
      </c>
    </row>
    <row r="9" spans="2:18" x14ac:dyDescent="0.25">
      <c r="B9" s="14" t="s">
        <v>313</v>
      </c>
      <c r="D9" s="14" t="s">
        <v>111</v>
      </c>
      <c r="F9" s="14" t="s">
        <v>158</v>
      </c>
      <c r="J9" s="21" t="s">
        <v>234</v>
      </c>
      <c r="L9" s="10" t="s">
        <v>38</v>
      </c>
      <c r="P9" s="33" t="s">
        <v>219</v>
      </c>
      <c r="R9" t="str">
        <v>Credit Bureau Aggregator</v>
      </c>
    </row>
    <row r="10" spans="2:18" x14ac:dyDescent="0.25">
      <c r="J10" s="21" t="s">
        <v>233</v>
      </c>
      <c r="L10" s="10" t="s">
        <v>339</v>
      </c>
      <c r="P10" s="21" t="s">
        <v>192</v>
      </c>
      <c r="R10" t="str">
        <v>Data Warehouse</v>
      </c>
    </row>
    <row r="11" spans="2:18" x14ac:dyDescent="0.25">
      <c r="B11" s="33" t="s">
        <v>218</v>
      </c>
      <c r="D11" s="33" t="s">
        <v>254</v>
      </c>
      <c r="F11" s="15" t="s">
        <v>20</v>
      </c>
      <c r="H11" s="15" t="s">
        <v>200</v>
      </c>
      <c r="J11" s="21" t="s">
        <v>248</v>
      </c>
      <c r="L11" s="10" t="s">
        <v>37</v>
      </c>
      <c r="P11" s="21" t="s">
        <v>193</v>
      </c>
      <c r="R11" t="str">
        <v>DataMarts</v>
      </c>
    </row>
    <row r="12" spans="2:18" x14ac:dyDescent="0.25">
      <c r="B12" s="21" t="s">
        <v>213</v>
      </c>
      <c r="D12" s="22" t="s">
        <v>257</v>
      </c>
      <c r="F12" s="8" t="s">
        <v>50</v>
      </c>
      <c r="H12" s="8" t="s">
        <v>202</v>
      </c>
      <c r="L12" s="14" t="s">
        <v>29</v>
      </c>
      <c r="R12" t="str">
        <v>DevOps</v>
      </c>
    </row>
    <row r="13" spans="2:18" x14ac:dyDescent="0.25">
      <c r="B13" s="21" t="s">
        <v>214</v>
      </c>
      <c r="D13" s="22" t="s">
        <v>392</v>
      </c>
      <c r="F13" s="8" t="s">
        <v>21</v>
      </c>
      <c r="H13" s="8" t="s">
        <v>203</v>
      </c>
      <c r="P13" s="33" t="s">
        <v>243</v>
      </c>
      <c r="R13" t="str">
        <v>Email Client</v>
      </c>
    </row>
    <row r="14" spans="2:18" x14ac:dyDescent="0.25">
      <c r="D14" s="22" t="s">
        <v>393</v>
      </c>
      <c r="F14" s="8" t="s">
        <v>27</v>
      </c>
      <c r="H14" s="9" t="s">
        <v>204</v>
      </c>
      <c r="L14" s="15" t="s">
        <v>36</v>
      </c>
      <c r="P14" s="21" t="s">
        <v>227</v>
      </c>
      <c r="R14" t="str">
        <v>Enterprise Content Manager</v>
      </c>
    </row>
    <row r="15" spans="2:18" x14ac:dyDescent="0.25">
      <c r="B15" s="33" t="s">
        <v>215</v>
      </c>
      <c r="D15" s="22" t="s">
        <v>394</v>
      </c>
      <c r="F15" s="8" t="s">
        <v>52</v>
      </c>
      <c r="L15" s="8" t="s">
        <v>28</v>
      </c>
      <c r="P15" s="21" t="s">
        <v>246</v>
      </c>
      <c r="R15" t="str">
        <v>Enterprise Service Bus</v>
      </c>
    </row>
    <row r="16" spans="2:18" x14ac:dyDescent="0.25">
      <c r="B16" s="21" t="s">
        <v>213</v>
      </c>
      <c r="D16" s="22" t="s">
        <v>395</v>
      </c>
      <c r="F16" s="8" t="s">
        <v>51</v>
      </c>
      <c r="L16" s="8" t="s">
        <v>303</v>
      </c>
      <c r="P16" s="21" t="s">
        <v>273</v>
      </c>
      <c r="R16" t="str">
        <v>Forward Proxy</v>
      </c>
    </row>
    <row r="17" spans="2:18" x14ac:dyDescent="0.25">
      <c r="B17" s="21" t="s">
        <v>214</v>
      </c>
      <c r="D17" s="21" t="s">
        <v>396</v>
      </c>
      <c r="F17" s="8" t="s">
        <v>53</v>
      </c>
      <c r="L17" s="8" t="s">
        <v>304</v>
      </c>
      <c r="P17" s="21" t="s">
        <v>274</v>
      </c>
      <c r="R17" t="str">
        <v>Inventory Management System</v>
      </c>
    </row>
    <row r="18" spans="2:18" x14ac:dyDescent="0.25">
      <c r="D18" s="22" t="s">
        <v>397</v>
      </c>
      <c r="F18" s="8" t="s">
        <v>54</v>
      </c>
      <c r="L18" s="8" t="s">
        <v>305</v>
      </c>
      <c r="P18" s="21" t="s">
        <v>376</v>
      </c>
      <c r="R18" t="str">
        <v>Mail Relay</v>
      </c>
    </row>
    <row r="19" spans="2:18" x14ac:dyDescent="0.25">
      <c r="B19" s="33" t="s">
        <v>212</v>
      </c>
      <c r="D19" s="21" t="s">
        <v>398</v>
      </c>
      <c r="F19" s="8" t="s">
        <v>49</v>
      </c>
      <c r="L19" s="8" t="s">
        <v>306</v>
      </c>
      <c r="P19" s="21" t="s">
        <v>244</v>
      </c>
      <c r="R19" t="str">
        <v>Marketing CRM</v>
      </c>
    </row>
    <row r="20" spans="2:18" x14ac:dyDescent="0.25">
      <c r="B20" s="21" t="s">
        <v>213</v>
      </c>
      <c r="D20" s="21" t="s">
        <v>399</v>
      </c>
      <c r="F20" s="8" t="s">
        <v>367</v>
      </c>
      <c r="L20" s="9" t="s">
        <v>307</v>
      </c>
      <c r="P20" s="21" t="s">
        <v>245</v>
      </c>
      <c r="R20" t="str">
        <v>Message Center</v>
      </c>
    </row>
    <row r="21" spans="2:18" x14ac:dyDescent="0.25">
      <c r="B21" s="21" t="s">
        <v>214</v>
      </c>
      <c r="D21" s="22" t="s">
        <v>400</v>
      </c>
      <c r="F21" s="9" t="s">
        <v>368</v>
      </c>
      <c r="P21" s="21" t="s">
        <v>332</v>
      </c>
      <c r="R21" t="str">
        <v>Reverse Proxy</v>
      </c>
    </row>
    <row r="22" spans="2:18" x14ac:dyDescent="0.25">
      <c r="L22" s="15" t="s">
        <v>2</v>
      </c>
      <c r="P22" s="21" t="s">
        <v>377</v>
      </c>
      <c r="R22" t="str">
        <v>Service CRM</v>
      </c>
    </row>
    <row r="23" spans="2:18" x14ac:dyDescent="0.25">
      <c r="B23" s="33" t="s">
        <v>187</v>
      </c>
      <c r="D23" s="33" t="s">
        <v>175</v>
      </c>
      <c r="F23" s="15" t="s">
        <v>35</v>
      </c>
      <c r="H23" s="15" t="s">
        <v>195</v>
      </c>
      <c r="L23" s="8" t="s">
        <v>351</v>
      </c>
      <c r="P23" s="21" t="s">
        <v>378</v>
      </c>
      <c r="R23" t="str">
        <v>Web Browser</v>
      </c>
    </row>
    <row r="24" spans="2:18" x14ac:dyDescent="0.25">
      <c r="B24" s="21" t="s">
        <v>234</v>
      </c>
      <c r="D24" s="21" t="s">
        <v>210</v>
      </c>
      <c r="F24" s="8" t="s">
        <v>119</v>
      </c>
      <c r="H24" s="8" t="s">
        <v>202</v>
      </c>
      <c r="L24" s="9" t="s">
        <v>350</v>
      </c>
    </row>
    <row r="25" spans="2:18" x14ac:dyDescent="0.25">
      <c r="B25" s="21" t="s">
        <v>233</v>
      </c>
      <c r="D25" s="21" t="s">
        <v>176</v>
      </c>
      <c r="F25" s="8" t="s">
        <v>33</v>
      </c>
      <c r="H25" s="8" t="s">
        <v>203</v>
      </c>
      <c r="L25" s="8" t="s">
        <v>353</v>
      </c>
      <c r="P25" s="33" t="s">
        <v>409</v>
      </c>
    </row>
    <row r="26" spans="2:18" x14ac:dyDescent="0.25">
      <c r="B26" s="21" t="s">
        <v>248</v>
      </c>
      <c r="D26" s="21" t="s">
        <v>220</v>
      </c>
      <c r="F26" s="8" t="s">
        <v>403</v>
      </c>
      <c r="H26" s="9" t="s">
        <v>204</v>
      </c>
      <c r="L26" s="8" t="s">
        <v>349</v>
      </c>
      <c r="P26" s="21" t="s">
        <v>383</v>
      </c>
    </row>
    <row r="27" spans="2:18" x14ac:dyDescent="0.25">
      <c r="B27" s="21" t="s">
        <v>214</v>
      </c>
      <c r="F27" s="9" t="s">
        <v>369</v>
      </c>
      <c r="L27" s="8" t="s">
        <v>354</v>
      </c>
      <c r="P27" s="21" t="s">
        <v>410</v>
      </c>
    </row>
    <row r="28" spans="2:18" x14ac:dyDescent="0.25">
      <c r="L28" s="9" t="s">
        <v>352</v>
      </c>
      <c r="P28" s="21" t="s">
        <v>411</v>
      </c>
    </row>
    <row r="29" spans="2:18" x14ac:dyDescent="0.25">
      <c r="B29" s="33" t="s">
        <v>324</v>
      </c>
      <c r="D29" s="33" t="s">
        <v>226</v>
      </c>
      <c r="F29" s="15" t="s">
        <v>114</v>
      </c>
      <c r="H29" s="15" t="s">
        <v>196</v>
      </c>
      <c r="P29" s="21" t="s">
        <v>270</v>
      </c>
    </row>
    <row r="30" spans="2:18" x14ac:dyDescent="0.25">
      <c r="B30" s="21" t="s">
        <v>327</v>
      </c>
      <c r="D30" s="21" t="s">
        <v>227</v>
      </c>
      <c r="F30" s="8" t="s">
        <v>115</v>
      </c>
      <c r="H30" s="8" t="s">
        <v>205</v>
      </c>
      <c r="L30" s="15" t="s">
        <v>44</v>
      </c>
      <c r="P30" s="21" t="s">
        <v>412</v>
      </c>
    </row>
    <row r="31" spans="2:18" x14ac:dyDescent="0.25">
      <c r="B31" s="21" t="s">
        <v>202</v>
      </c>
      <c r="D31" s="21" t="s">
        <v>330</v>
      </c>
      <c r="F31" s="8" t="s">
        <v>116</v>
      </c>
      <c r="H31" s="9" t="s">
        <v>206</v>
      </c>
      <c r="L31" s="9" t="s">
        <v>31</v>
      </c>
      <c r="P31" s="21" t="s">
        <v>271</v>
      </c>
    </row>
    <row r="32" spans="2:18" x14ac:dyDescent="0.25">
      <c r="B32" s="21" t="s">
        <v>402</v>
      </c>
      <c r="D32" s="21" t="s">
        <v>228</v>
      </c>
      <c r="F32" s="8" t="s">
        <v>370</v>
      </c>
      <c r="H32" s="8" t="s">
        <v>207</v>
      </c>
      <c r="L32" s="8" t="s">
        <v>34</v>
      </c>
    </row>
    <row r="33" spans="2:16" x14ac:dyDescent="0.25">
      <c r="B33" s="21" t="s">
        <v>325</v>
      </c>
      <c r="D33" s="21" t="s">
        <v>331</v>
      </c>
      <c r="F33" s="8" t="s">
        <v>371</v>
      </c>
      <c r="H33" s="9" t="s">
        <v>208</v>
      </c>
      <c r="L33" s="8" t="s">
        <v>346</v>
      </c>
      <c r="P33" s="33" t="s">
        <v>240</v>
      </c>
    </row>
    <row r="34" spans="2:16" x14ac:dyDescent="0.25">
      <c r="B34" s="21" t="s">
        <v>326</v>
      </c>
      <c r="D34" s="21" t="s">
        <v>214</v>
      </c>
      <c r="F34" s="9" t="s">
        <v>372</v>
      </c>
      <c r="L34" s="8" t="s">
        <v>32</v>
      </c>
      <c r="P34" s="21" t="s">
        <v>192</v>
      </c>
    </row>
    <row r="35" spans="2:16" x14ac:dyDescent="0.25">
      <c r="L35" s="8" t="s">
        <v>30</v>
      </c>
      <c r="P35" s="21" t="s">
        <v>193</v>
      </c>
    </row>
    <row r="36" spans="2:16" x14ac:dyDescent="0.25">
      <c r="B36" s="33" t="s">
        <v>229</v>
      </c>
      <c r="D36" s="33" t="s">
        <v>221</v>
      </c>
      <c r="F36" s="15" t="s">
        <v>19</v>
      </c>
      <c r="H36" s="15" t="s">
        <v>197</v>
      </c>
      <c r="L36" s="9" t="s">
        <v>347</v>
      </c>
    </row>
    <row r="37" spans="2:16" x14ac:dyDescent="0.25">
      <c r="B37" s="21" t="s">
        <v>227</v>
      </c>
      <c r="D37" s="21" t="s">
        <v>222</v>
      </c>
      <c r="F37" s="8" t="s">
        <v>115</v>
      </c>
      <c r="H37" s="8" t="s">
        <v>205</v>
      </c>
      <c r="P37" s="33" t="s">
        <v>241</v>
      </c>
    </row>
    <row r="38" spans="2:16" x14ac:dyDescent="0.25">
      <c r="B38" s="21" t="s">
        <v>231</v>
      </c>
      <c r="D38" s="21" t="s">
        <v>223</v>
      </c>
      <c r="F38" s="8" t="s">
        <v>116</v>
      </c>
      <c r="H38" s="9" t="s">
        <v>206</v>
      </c>
      <c r="L38" s="15" t="s">
        <v>95</v>
      </c>
      <c r="P38" s="21" t="s">
        <v>227</v>
      </c>
    </row>
    <row r="39" spans="2:16" x14ac:dyDescent="0.25">
      <c r="B39" s="21" t="s">
        <v>230</v>
      </c>
      <c r="D39" s="21" t="s">
        <v>224</v>
      </c>
      <c r="F39" s="8" t="s">
        <v>370</v>
      </c>
      <c r="H39" s="8" t="s">
        <v>207</v>
      </c>
      <c r="L39" s="8" t="s">
        <v>97</v>
      </c>
      <c r="P39" s="21" t="s">
        <v>242</v>
      </c>
    </row>
    <row r="40" spans="2:16" x14ac:dyDescent="0.25">
      <c r="B40" s="21" t="s">
        <v>232</v>
      </c>
      <c r="D40" s="21" t="s">
        <v>328</v>
      </c>
      <c r="F40" s="8" t="s">
        <v>372</v>
      </c>
      <c r="H40" s="9" t="s">
        <v>208</v>
      </c>
      <c r="L40" s="8" t="s">
        <v>98</v>
      </c>
      <c r="P40" s="21" t="s">
        <v>379</v>
      </c>
    </row>
    <row r="41" spans="2:16" x14ac:dyDescent="0.25">
      <c r="D41" s="21" t="s">
        <v>329</v>
      </c>
      <c r="F41" s="9" t="s">
        <v>371</v>
      </c>
      <c r="L41" s="8" t="s">
        <v>344</v>
      </c>
      <c r="P41" s="21" t="s">
        <v>380</v>
      </c>
    </row>
    <row r="42" spans="2:16" x14ac:dyDescent="0.25">
      <c r="D42" s="21" t="s">
        <v>225</v>
      </c>
      <c r="L42" s="8" t="s">
        <v>92</v>
      </c>
      <c r="P42" s="21" t="s">
        <v>381</v>
      </c>
    </row>
    <row r="43" spans="2:16" x14ac:dyDescent="0.25">
      <c r="F43" s="15" t="s">
        <v>24</v>
      </c>
      <c r="H43" s="15" t="s">
        <v>198</v>
      </c>
      <c r="L43" s="9" t="s">
        <v>345</v>
      </c>
      <c r="P43" s="21" t="s">
        <v>382</v>
      </c>
    </row>
    <row r="44" spans="2:16" x14ac:dyDescent="0.25">
      <c r="B44" s="33" t="s">
        <v>235</v>
      </c>
      <c r="F44" s="8" t="s">
        <v>117</v>
      </c>
      <c r="H44" s="8" t="s">
        <v>202</v>
      </c>
    </row>
    <row r="45" spans="2:16" x14ac:dyDescent="0.25">
      <c r="B45" s="21" t="s">
        <v>227</v>
      </c>
      <c r="F45" s="8" t="s">
        <v>118</v>
      </c>
      <c r="H45" s="8" t="s">
        <v>203</v>
      </c>
      <c r="L45" s="15" t="s">
        <v>39</v>
      </c>
      <c r="P45" s="33" t="s">
        <v>406</v>
      </c>
    </row>
    <row r="46" spans="2:16" x14ac:dyDescent="0.25">
      <c r="B46" s="21" t="s">
        <v>323</v>
      </c>
      <c r="F46" s="8" t="s">
        <v>373</v>
      </c>
      <c r="H46" s="9" t="s">
        <v>204</v>
      </c>
      <c r="L46" s="8" t="s">
        <v>97</v>
      </c>
      <c r="P46" s="21" t="s">
        <v>227</v>
      </c>
    </row>
    <row r="47" spans="2:16" x14ac:dyDescent="0.25">
      <c r="B47" s="21" t="s">
        <v>322</v>
      </c>
      <c r="F47" s="9" t="s">
        <v>374</v>
      </c>
      <c r="L47" s="8" t="s">
        <v>98</v>
      </c>
      <c r="P47" s="21" t="s">
        <v>408</v>
      </c>
    </row>
    <row r="48" spans="2:16" x14ac:dyDescent="0.25">
      <c r="B48" s="21" t="s">
        <v>238</v>
      </c>
      <c r="L48" s="8" t="s">
        <v>344</v>
      </c>
      <c r="P48" s="21" t="s">
        <v>419</v>
      </c>
    </row>
    <row r="49" spans="2:16" x14ac:dyDescent="0.25">
      <c r="B49" s="21" t="s">
        <v>237</v>
      </c>
      <c r="F49" s="15" t="s">
        <v>158</v>
      </c>
      <c r="H49" s="15" t="s">
        <v>199</v>
      </c>
      <c r="K49" t="s">
        <v>401</v>
      </c>
      <c r="L49" s="8" t="s">
        <v>92</v>
      </c>
      <c r="P49" s="21" t="s">
        <v>407</v>
      </c>
    </row>
    <row r="50" spans="2:16" x14ac:dyDescent="0.25">
      <c r="B50" s="21" t="s">
        <v>320</v>
      </c>
      <c r="F50" s="8" t="s">
        <v>375</v>
      </c>
      <c r="H50" s="8" t="s">
        <v>202</v>
      </c>
      <c r="K50" t="s">
        <v>401</v>
      </c>
      <c r="L50" s="9" t="s">
        <v>345</v>
      </c>
      <c r="P50" s="21" t="s">
        <v>420</v>
      </c>
    </row>
    <row r="51" spans="2:16" x14ac:dyDescent="0.25">
      <c r="B51" s="21" t="s">
        <v>236</v>
      </c>
      <c r="F51" s="8" t="s">
        <v>162</v>
      </c>
      <c r="H51" s="8" t="s">
        <v>203</v>
      </c>
      <c r="K51" t="s">
        <v>401</v>
      </c>
    </row>
    <row r="52" spans="2:16" x14ac:dyDescent="0.25">
      <c r="B52" s="21" t="s">
        <v>239</v>
      </c>
      <c r="F52" s="8" t="s">
        <v>160</v>
      </c>
      <c r="H52" s="9" t="s">
        <v>204</v>
      </c>
      <c r="L52" s="15" t="s">
        <v>96</v>
      </c>
      <c r="P52" s="33" t="s">
        <v>249</v>
      </c>
    </row>
    <row r="53" spans="2:16" x14ac:dyDescent="0.25">
      <c r="B53" s="21" t="s">
        <v>321</v>
      </c>
      <c r="F53" s="8" t="s">
        <v>159</v>
      </c>
      <c r="L53" s="9" t="s">
        <v>97</v>
      </c>
      <c r="P53" s="21" t="s">
        <v>250</v>
      </c>
    </row>
    <row r="54" spans="2:16" x14ac:dyDescent="0.25">
      <c r="F54" s="8" t="s">
        <v>163</v>
      </c>
      <c r="L54" s="9" t="s">
        <v>92</v>
      </c>
      <c r="P54" s="21" t="s">
        <v>253</v>
      </c>
    </row>
    <row r="55" spans="2:16" x14ac:dyDescent="0.25">
      <c r="F55" s="8" t="s">
        <v>161</v>
      </c>
      <c r="L55" s="9" t="s">
        <v>344</v>
      </c>
      <c r="P55" s="21" t="s">
        <v>251</v>
      </c>
    </row>
    <row r="56" spans="2:16" x14ac:dyDescent="0.25">
      <c r="F56" s="9" t="s">
        <v>371</v>
      </c>
      <c r="L56" s="9" t="s">
        <v>94</v>
      </c>
      <c r="P56" s="21" t="s">
        <v>252</v>
      </c>
    </row>
    <row r="57" spans="2:16" x14ac:dyDescent="0.25">
      <c r="L57" s="9" t="s">
        <v>98</v>
      </c>
    </row>
    <row r="58" spans="2:16" x14ac:dyDescent="0.25">
      <c r="F58" s="33" t="s">
        <v>384</v>
      </c>
      <c r="L58" s="9" t="s">
        <v>348</v>
      </c>
      <c r="P58" s="33" t="s">
        <v>281</v>
      </c>
    </row>
    <row r="59" spans="2:16" x14ac:dyDescent="0.25">
      <c r="F59" s="21" t="s">
        <v>385</v>
      </c>
      <c r="P59" s="21" t="s">
        <v>192</v>
      </c>
    </row>
    <row r="60" spans="2:16" x14ac:dyDescent="0.25">
      <c r="F60" s="21" t="s">
        <v>386</v>
      </c>
      <c r="L60" s="15" t="s">
        <v>29</v>
      </c>
      <c r="P60" s="21" t="s">
        <v>193</v>
      </c>
    </row>
    <row r="61" spans="2:16" x14ac:dyDescent="0.25">
      <c r="F61" s="21" t="s">
        <v>387</v>
      </c>
      <c r="L61" s="8" t="s">
        <v>355</v>
      </c>
    </row>
    <row r="62" spans="2:16" x14ac:dyDescent="0.25">
      <c r="F62" s="21" t="s">
        <v>388</v>
      </c>
      <c r="L62" s="8" t="s">
        <v>358</v>
      </c>
      <c r="P62" s="33" t="s">
        <v>416</v>
      </c>
    </row>
    <row r="63" spans="2:16" x14ac:dyDescent="0.25">
      <c r="F63" s="21" t="s">
        <v>389</v>
      </c>
      <c r="L63" s="8" t="s">
        <v>359</v>
      </c>
      <c r="P63" s="22" t="s">
        <v>227</v>
      </c>
    </row>
    <row r="64" spans="2:16" x14ac:dyDescent="0.25">
      <c r="F64" s="21" t="s">
        <v>390</v>
      </c>
      <c r="L64" s="8" t="s">
        <v>356</v>
      </c>
      <c r="P64" s="21" t="s">
        <v>417</v>
      </c>
    </row>
    <row r="65" spans="6:16" x14ac:dyDescent="0.25">
      <c r="L65" s="9" t="s">
        <v>357</v>
      </c>
      <c r="P65" s="22" t="s">
        <v>418</v>
      </c>
    </row>
    <row r="66" spans="6:16" x14ac:dyDescent="0.25">
      <c r="F66" s="33" t="s">
        <v>259</v>
      </c>
    </row>
    <row r="67" spans="6:16" x14ac:dyDescent="0.25">
      <c r="F67" s="22" t="s">
        <v>260</v>
      </c>
      <c r="L67" s="15" t="s">
        <v>341</v>
      </c>
    </row>
    <row r="68" spans="6:16" x14ac:dyDescent="0.25">
      <c r="F68" s="22" t="s">
        <v>261</v>
      </c>
      <c r="L68" s="8" t="s">
        <v>97</v>
      </c>
    </row>
    <row r="69" spans="6:16" x14ac:dyDescent="0.25">
      <c r="F69" s="22" t="s">
        <v>262</v>
      </c>
      <c r="L69" s="8" t="s">
        <v>98</v>
      </c>
    </row>
    <row r="70" spans="6:16" x14ac:dyDescent="0.25">
      <c r="F70" s="22" t="s">
        <v>263</v>
      </c>
      <c r="L70" s="8" t="s">
        <v>92</v>
      </c>
    </row>
    <row r="71" spans="6:16" x14ac:dyDescent="0.25">
      <c r="F71" s="22" t="s">
        <v>264</v>
      </c>
      <c r="L71" s="8" t="s">
        <v>93</v>
      </c>
    </row>
    <row r="72" spans="6:16" x14ac:dyDescent="0.25">
      <c r="F72" s="21" t="s">
        <v>265</v>
      </c>
      <c r="L72" s="8" t="s">
        <v>342</v>
      </c>
    </row>
    <row r="73" spans="6:16" x14ac:dyDescent="0.25">
      <c r="F73" s="22" t="s">
        <v>266</v>
      </c>
      <c r="L73" s="9" t="s">
        <v>343</v>
      </c>
    </row>
    <row r="74" spans="6:16" x14ac:dyDescent="0.25">
      <c r="F74" s="21" t="s">
        <v>267</v>
      </c>
    </row>
    <row r="75" spans="6:16" x14ac:dyDescent="0.25">
      <c r="F75" s="21" t="s">
        <v>268</v>
      </c>
      <c r="L75" s="15" t="s">
        <v>360</v>
      </c>
    </row>
    <row r="76" spans="6:16" x14ac:dyDescent="0.25">
      <c r="F76" s="22" t="s">
        <v>391</v>
      </c>
      <c r="L76" s="8" t="s">
        <v>361</v>
      </c>
    </row>
    <row r="77" spans="6:16" x14ac:dyDescent="0.25">
      <c r="L77" s="8" t="s">
        <v>366</v>
      </c>
    </row>
    <row r="78" spans="6:16" x14ac:dyDescent="0.25">
      <c r="L78" s="8" t="s">
        <v>364</v>
      </c>
    </row>
    <row r="79" spans="6:16" x14ac:dyDescent="0.25">
      <c r="L79" s="8" t="s">
        <v>362</v>
      </c>
    </row>
    <row r="80" spans="6:16" x14ac:dyDescent="0.25">
      <c r="L80" s="8" t="s">
        <v>363</v>
      </c>
    </row>
    <row r="81" spans="12:12" x14ac:dyDescent="0.25">
      <c r="L81" s="9" t="s">
        <v>365</v>
      </c>
    </row>
    <row r="131" spans="12:12" x14ac:dyDescent="0.25">
      <c r="L131" s="33" t="s">
        <v>333</v>
      </c>
    </row>
    <row r="132" spans="12:12" x14ac:dyDescent="0.25">
      <c r="L132" s="10" t="s">
        <v>334</v>
      </c>
    </row>
    <row r="133" spans="12:12" x14ac:dyDescent="0.25">
      <c r="L133" s="10" t="s">
        <v>335</v>
      </c>
    </row>
    <row r="134" spans="12:12" x14ac:dyDescent="0.25">
      <c r="L134" s="10" t="s">
        <v>336</v>
      </c>
    </row>
    <row r="135" spans="12:12" x14ac:dyDescent="0.25">
      <c r="L135" s="10" t="s">
        <v>43</v>
      </c>
    </row>
    <row r="136" spans="12:12" x14ac:dyDescent="0.25">
      <c r="L136" s="10" t="s">
        <v>337</v>
      </c>
    </row>
    <row r="137" spans="12:12" x14ac:dyDescent="0.25">
      <c r="L137" s="14" t="s">
        <v>338</v>
      </c>
    </row>
  </sheetData>
  <sortState xmlns:xlrd2="http://schemas.microsoft.com/office/spreadsheetml/2017/richdata2" ref="L23:L28">
    <sortCondition ref="L23:L28"/>
  </sortState>
  <pageMargins left="0.7" right="0.7" top="0.75" bottom="0.75" header="0.3" footer="0.3"/>
  <pageSetup orientation="portrait" horizontalDpi="90" verticalDpi="90" r:id="rId1"/>
  <ignoredErrors>
    <ignoredError sqref="D12"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60</vt:i4>
      </vt:variant>
    </vt:vector>
  </HeadingPairs>
  <TitlesOfParts>
    <vt:vector size="72" baseType="lpstr">
      <vt:lpstr>Hidden Options</vt:lpstr>
      <vt:lpstr>About...</vt:lpstr>
      <vt:lpstr>Options</vt:lpstr>
      <vt:lpstr>Actors</vt:lpstr>
      <vt:lpstr>Applications</vt:lpstr>
      <vt:lpstr>Data Stores</vt:lpstr>
      <vt:lpstr>Notes</vt:lpstr>
      <vt:lpstr>Actor to Application</vt:lpstr>
      <vt:lpstr>Application to Application</vt:lpstr>
      <vt:lpstr>Application to Data Store</vt:lpstr>
      <vt:lpstr>Application Descriptions</vt:lpstr>
      <vt:lpstr>Lists</vt:lpstr>
      <vt:lpstr>ActorActions</vt:lpstr>
      <vt:lpstr>Actors</vt:lpstr>
      <vt:lpstr>ActorTypes</vt:lpstr>
      <vt:lpstr>AgreementsInPlace</vt:lpstr>
      <vt:lpstr>APIGateway</vt:lpstr>
      <vt:lpstr>ApplicationTypes</vt:lpstr>
      <vt:lpstr>ApproximateVolume</vt:lpstr>
      <vt:lpstr>AppsInScope</vt:lpstr>
      <vt:lpstr>'Hidden Options'!AppTitles</vt:lpstr>
      <vt:lpstr>AppTitles</vt:lpstr>
      <vt:lpstr>AuthMechanism</vt:lpstr>
      <vt:lpstr>Availability</vt:lpstr>
      <vt:lpstr>BackupStrategy</vt:lpstr>
      <vt:lpstr>BusinessContinuity</vt:lpstr>
      <vt:lpstr>ContainsPII</vt:lpstr>
      <vt:lpstr>Criticality</vt:lpstr>
      <vt:lpstr>Database</vt:lpstr>
      <vt:lpstr>DataClassification</vt:lpstr>
      <vt:lpstr>DataResidency</vt:lpstr>
      <vt:lpstr>DataStoreActions</vt:lpstr>
      <vt:lpstr>DataStores</vt:lpstr>
      <vt:lpstr>'Hidden Options'!DataStoreToType</vt:lpstr>
      <vt:lpstr>Notes!DataStoreToType</vt:lpstr>
      <vt:lpstr>DataStoreToType</vt:lpstr>
      <vt:lpstr>DataStoreTypes</vt:lpstr>
      <vt:lpstr>DeploymentModelDatabase</vt:lpstr>
      <vt:lpstr>DeploymentModelDirectory</vt:lpstr>
      <vt:lpstr>DeploymentModelFile</vt:lpstr>
      <vt:lpstr>DeploymentModelFolder</vt:lpstr>
      <vt:lpstr>DeploymentModelQueue</vt:lpstr>
      <vt:lpstr>DeploymentModelRepository</vt:lpstr>
      <vt:lpstr>DirectNetwork</vt:lpstr>
      <vt:lpstr>Directory</vt:lpstr>
      <vt:lpstr>Email</vt:lpstr>
      <vt:lpstr>EncryptionAtRest</vt:lpstr>
      <vt:lpstr>ESB</vt:lpstr>
      <vt:lpstr>FailureAlerting</vt:lpstr>
      <vt:lpstr>FailureDisposition</vt:lpstr>
      <vt:lpstr>FailureImpact</vt:lpstr>
      <vt:lpstr>File</vt:lpstr>
      <vt:lpstr>FileTransfer</vt:lpstr>
      <vt:lpstr>Folder</vt:lpstr>
      <vt:lpstr>ForwardProxy</vt:lpstr>
      <vt:lpstr>HostingModel</vt:lpstr>
      <vt:lpstr>Integrity</vt:lpstr>
      <vt:lpstr>MessageBroker</vt:lpstr>
      <vt:lpstr>Origin</vt:lpstr>
      <vt:lpstr>PopulationScale</vt:lpstr>
      <vt:lpstr>Queue</vt:lpstr>
      <vt:lpstr>RedundancyModel</vt:lpstr>
      <vt:lpstr>RegulatoryScope</vt:lpstr>
      <vt:lpstr>Repository</vt:lpstr>
      <vt:lpstr>RetentionPeriod</vt:lpstr>
      <vt:lpstr>RetryStrategy</vt:lpstr>
      <vt:lpstr>ReverseProxy</vt:lpstr>
      <vt:lpstr>SortedAppList</vt:lpstr>
      <vt:lpstr>Stability</vt:lpstr>
      <vt:lpstr>Telephony</vt:lpstr>
      <vt:lpstr>TriggerSource</vt:lpstr>
      <vt:lpstr>Via</vt:lpstr>
    </vt:vector>
  </TitlesOfParts>
  <Company>Daimler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Jeffrey (525)</dc:creator>
  <cp:lastModifiedBy>Jeffrey Long</cp:lastModifiedBy>
  <dcterms:created xsi:type="dcterms:W3CDTF">2023-10-19T15:36:14Z</dcterms:created>
  <dcterms:modified xsi:type="dcterms:W3CDTF">2026-09-29T00:14:37Z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2023-10-19T15:36:15Z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f091a598-d8c0-49e8-86fd-65d416aeeb6a</vt:lpwstr>
  </property>
  <property fmtid="{D5CDD505-2E9C-101B-9397-08002B2CF9AE}" pid="8" name="MSIP_Label_924dbb1d-991d-4bbd-aad5-33bac1d8ffaf_ContentBits">
    <vt:lpwstr>0</vt:lpwstr>
  </property>
</Properties>
</file>